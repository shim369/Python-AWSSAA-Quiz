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キーワード一覧" sheetId="1" state="visible" r:id="rId1"/>
    <sheet name="分野別集計" sheetId="2" state="visible" r:id="rId2"/>
  </sheets>
  <definedNames>
    <definedName name="_xlnm._FilterDatabase" localSheetId="0" hidden="1">'キーワード一覧'!$A$4:$G$235</definedName>
    <definedName name="_xlnm.Print_Titles" localSheetId="0">'キーワード一覧'!$4:$4</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6">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Noto Sans CJK SC"/>
      <family val="2"/>
      <b val="1"/>
      <sz val="14"/>
    </font>
    <font>
      <name val="Noto Sans CJK SC"/>
      <family val="2"/>
      <color rgb="FF595959"/>
      <sz val="9"/>
    </font>
    <font>
      <name val="Arial"/>
      <charset val="1"/>
      <family val="0"/>
      <color rgb="FF595959"/>
      <sz val="9"/>
    </font>
    <font>
      <name val="Arial"/>
      <charset val="1"/>
      <family val="0"/>
      <b val="1"/>
      <color rgb="FFFFFFFF"/>
      <sz val="10"/>
    </font>
    <font>
      <name val="Noto Sans CJK SC"/>
      <family val="2"/>
      <b val="1"/>
      <color rgb="FFFFFFFF"/>
      <sz val="10"/>
    </font>
    <font>
      <name val="Arial"/>
      <charset val="1"/>
      <family val="0"/>
      <sz val="10"/>
    </font>
    <font>
      <name val="Noto Sans CJK SC"/>
      <family val="2"/>
      <sz val="10"/>
    </font>
    <font>
      <name val="Arial"/>
      <charset val="1"/>
      <family val="0"/>
      <b val="1"/>
      <sz val="10"/>
    </font>
    <font>
      <name val="Arial"/>
      <charset val="1"/>
      <family val="0"/>
      <color rgb="FFC55A11"/>
      <sz val="10"/>
    </font>
    <font>
      <name val="Noto Sans CJK SC"/>
      <family val="2"/>
      <b val="1"/>
      <sz val="10"/>
    </font>
    <font>
      <name val="Noto Sans CJK SC"/>
      <family val="2"/>
      <b val="1"/>
      <sz val="13"/>
    </font>
  </fonts>
  <fills count="5">
    <fill>
      <patternFill/>
    </fill>
    <fill>
      <patternFill patternType="gray125"/>
    </fill>
    <fill>
      <patternFill patternType="solid">
        <fgColor rgb="FF232F3E"/>
        <bgColor rgb="FF333300"/>
      </patternFill>
    </fill>
    <fill>
      <patternFill patternType="solid">
        <fgColor rgb="FFFFF9DB"/>
        <bgColor rgb="FFFDEBDD"/>
      </patternFill>
    </fill>
    <fill>
      <patternFill patternType="solid">
        <fgColor rgb="FFEDEDED"/>
        <bgColor rgb="FFFDEBD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9">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6" fillId="0" borderId="0" applyAlignment="1" pivotButton="0" quotePrefix="0" xfId="0">
      <alignment horizontal="general" vertical="bottom"/>
    </xf>
    <xf numFmtId="0" fontId="8" fillId="2" borderId="1" applyAlignment="1" pivotButton="0" quotePrefix="0" xfId="0">
      <alignment horizontal="center" vertical="center"/>
    </xf>
    <xf numFmtId="0" fontId="9" fillId="2" borderId="1" applyAlignment="1" pivotButton="0" quotePrefix="0" xfId="0">
      <alignment horizontal="center" vertical="center"/>
    </xf>
    <xf numFmtId="0" fontId="10" fillId="0" borderId="1" applyAlignment="1" pivotButton="0" quotePrefix="0" xfId="0">
      <alignment horizontal="center" vertical="top" wrapText="1"/>
    </xf>
    <xf numFmtId="0" fontId="11" fillId="0" borderId="1" applyAlignment="1" pivotButton="0" quotePrefix="0" xfId="0">
      <alignment horizontal="left" vertical="top" wrapText="1"/>
    </xf>
    <xf numFmtId="0" fontId="12" fillId="0" borderId="1" applyAlignment="1" pivotButton="0" quotePrefix="0" xfId="0">
      <alignment horizontal="left" vertical="top" wrapText="1"/>
    </xf>
    <xf numFmtId="0" fontId="13" fillId="0" borderId="1" applyAlignment="1" pivotButton="0" quotePrefix="0" xfId="0">
      <alignment horizontal="center" vertical="top" wrapText="1"/>
    </xf>
    <xf numFmtId="0" fontId="10" fillId="3" borderId="1" applyAlignment="1" pivotButton="0" quotePrefix="0" xfId="0">
      <alignment horizontal="left" vertical="top" wrapText="1"/>
    </xf>
    <xf numFmtId="0" fontId="14" fillId="0" borderId="1" applyAlignment="1" pivotButton="0" quotePrefix="0" xfId="0">
      <alignment horizontal="left" vertical="top" wrapText="1"/>
    </xf>
    <xf numFmtId="0" fontId="10" fillId="0" borderId="1" applyAlignment="1" pivotButton="0" quotePrefix="0" xfId="0">
      <alignment horizontal="left" vertical="top" wrapText="1"/>
    </xf>
    <xf numFmtId="0" fontId="15" fillId="0" borderId="0" applyAlignment="1" pivotButton="0" quotePrefix="0" xfId="0">
      <alignment horizontal="general" vertical="bottom"/>
    </xf>
    <xf numFmtId="0" fontId="9" fillId="2" borderId="1" applyAlignment="1" pivotButton="0" quotePrefix="0" xfId="0">
      <alignment horizontal="center" vertical="bottom" wrapText="1"/>
    </xf>
    <xf numFmtId="0" fontId="11" fillId="0" borderId="1" applyAlignment="1" pivotButton="0" quotePrefix="0" xfId="0">
      <alignment horizontal="general" vertical="bottom"/>
    </xf>
    <xf numFmtId="0" fontId="10" fillId="0" borderId="1" applyAlignment="1" pivotButton="0" quotePrefix="0" xfId="0">
      <alignment horizontal="center" vertical="bottom"/>
    </xf>
    <xf numFmtId="164" fontId="10" fillId="0" borderId="1" applyAlignment="1" pivotButton="0" quotePrefix="0" xfId="0">
      <alignment horizontal="center" vertical="bottom"/>
    </xf>
    <xf numFmtId="0" fontId="10" fillId="0" borderId="1" applyAlignment="1" pivotButton="0" quotePrefix="0" xfId="0">
      <alignment horizontal="general" vertical="bottom"/>
    </xf>
    <xf numFmtId="0" fontId="14" fillId="4" borderId="1" applyAlignment="1" pivotButton="0" quotePrefix="0" xfId="0">
      <alignment horizontal="general" vertical="bottom"/>
    </xf>
    <xf numFmtId="0" fontId="12" fillId="4" borderId="1" applyAlignment="1" pivotButton="0" quotePrefix="0" xfId="0">
      <alignment horizontal="center" vertical="bottom"/>
    </xf>
    <xf numFmtId="164" fontId="12" fillId="4" borderId="1"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6" fillId="0" borderId="0" applyAlignment="1" pivotButton="0" quotePrefix="0" xfId="0">
      <alignment horizontal="general" vertical="bottom"/>
    </xf>
    <xf numFmtId="0" fontId="8" fillId="2" borderId="1" applyAlignment="1" pivotButton="0" quotePrefix="0" xfId="0">
      <alignment horizontal="center" vertical="center"/>
    </xf>
    <xf numFmtId="0" fontId="9" fillId="2" borderId="1" applyAlignment="1" pivotButton="0" quotePrefix="0" xfId="0">
      <alignment horizontal="center" vertical="center"/>
    </xf>
    <xf numFmtId="0" fontId="10" fillId="0" borderId="1" applyAlignment="1" pivotButton="0" quotePrefix="0" xfId="0">
      <alignment horizontal="center" vertical="top" wrapText="1"/>
    </xf>
    <xf numFmtId="0" fontId="11" fillId="0" borderId="1" applyAlignment="1" pivotButton="0" quotePrefix="0" xfId="0">
      <alignment horizontal="left" vertical="top" wrapText="1"/>
    </xf>
    <xf numFmtId="0" fontId="12" fillId="0" borderId="1" applyAlignment="1" pivotButton="0" quotePrefix="0" xfId="0">
      <alignment horizontal="left" vertical="top" wrapText="1"/>
    </xf>
    <xf numFmtId="0" fontId="13" fillId="0" borderId="1" applyAlignment="1" pivotButton="0" quotePrefix="0" xfId="0">
      <alignment horizontal="center" vertical="top" wrapText="1"/>
    </xf>
    <xf numFmtId="0" fontId="10" fillId="3" borderId="1" applyAlignment="1" pivotButton="0" quotePrefix="0" xfId="0">
      <alignment horizontal="left" vertical="top" wrapText="1"/>
    </xf>
    <xf numFmtId="0" fontId="14" fillId="0" borderId="1" applyAlignment="1" pivotButton="0" quotePrefix="0" xfId="0">
      <alignment horizontal="left" vertical="top" wrapText="1"/>
    </xf>
    <xf numFmtId="0" fontId="10" fillId="0" borderId="1" applyAlignment="1" pivotButton="0" quotePrefix="0" xfId="0">
      <alignment horizontal="left" vertical="top" wrapText="1"/>
    </xf>
    <xf numFmtId="0" fontId="10" fillId="0" borderId="1" applyAlignment="1" pivotButton="0" quotePrefix="0" xfId="0">
      <alignment horizontal="center" vertical="top" wrapText="1"/>
    </xf>
    <xf numFmtId="0" fontId="11" fillId="0" borderId="1" applyAlignment="1" pivotButton="0" quotePrefix="0" xfId="0">
      <alignment horizontal="left" vertical="top" wrapText="1"/>
    </xf>
    <xf numFmtId="0" fontId="12" fillId="0" borderId="1" applyAlignment="1" pivotButton="0" quotePrefix="0" xfId="0">
      <alignment horizontal="left" vertical="top" wrapText="1"/>
    </xf>
    <xf numFmtId="0" fontId="10" fillId="0" borderId="1" applyAlignment="1" pivotButton="0" quotePrefix="0" xfId="0">
      <alignment horizontal="left" vertical="top" wrapText="1"/>
    </xf>
    <xf numFmtId="0" fontId="13" fillId="0" borderId="1" applyAlignment="1" pivotButton="0" quotePrefix="0" xfId="0">
      <alignment horizontal="center" vertical="top" wrapText="1"/>
    </xf>
    <xf numFmtId="0" fontId="10" fillId="3" borderId="1" applyAlignment="1" pivotButton="0" quotePrefix="0" xfId="0">
      <alignment horizontal="left" vertical="top" wrapText="1"/>
    </xf>
    <xf numFmtId="0" fontId="15" fillId="0" borderId="0" applyAlignment="1" pivotButton="0" quotePrefix="0" xfId="0">
      <alignment horizontal="general" vertical="bottom"/>
    </xf>
    <xf numFmtId="0" fontId="9" fillId="2" borderId="1" applyAlignment="1" pivotButton="0" quotePrefix="0" xfId="0">
      <alignment horizontal="center" vertical="bottom" wrapText="1"/>
    </xf>
    <xf numFmtId="0" fontId="11" fillId="0" borderId="1" applyAlignment="1" pivotButton="0" quotePrefix="0" xfId="0">
      <alignment horizontal="general" vertical="bottom"/>
    </xf>
    <xf numFmtId="0" fontId="10" fillId="0" borderId="1" applyAlignment="1" pivotButton="0" quotePrefix="0" xfId="0">
      <alignment horizontal="center" vertical="bottom"/>
    </xf>
    <xf numFmtId="164" fontId="10" fillId="0" borderId="1" applyAlignment="1" pivotButton="0" quotePrefix="0" xfId="0">
      <alignment horizontal="center" vertical="bottom"/>
    </xf>
    <xf numFmtId="0" fontId="10" fillId="0" borderId="1" applyAlignment="1" pivotButton="0" quotePrefix="0" xfId="0">
      <alignment horizontal="general" vertical="bottom"/>
    </xf>
    <xf numFmtId="0" fontId="14" fillId="4" borderId="1" applyAlignment="1" pivotButton="0" quotePrefix="0" xfId="0">
      <alignment horizontal="general" vertical="bottom"/>
    </xf>
    <xf numFmtId="0" fontId="12" fillId="4" borderId="1" applyAlignment="1" pivotButton="0" quotePrefix="0" xfId="0">
      <alignment horizontal="center" vertical="bottom"/>
    </xf>
    <xf numFmtId="164" fontId="12" fillId="4" borderId="1" applyAlignment="1" pivotButton="0" quotePrefix="0" xfId="0">
      <alignment horizontal="center"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patternType="solid">
          <fgColor rgb="FF232F3E"/>
          <bgColor rgb="FF000000"/>
        </patternFill>
      </fill>
    </dxf>
    <dxf>
      <fill>
        <patternFill patternType="solid">
          <fgColor rgb="FFFDEBDD"/>
          <bgColor rgb="FF000000"/>
        </patternFill>
      </fill>
    </dxf>
    <dxf>
      <fill>
        <patternFill patternType="solid">
          <bgColor rgb="FF000000"/>
        </patternFill>
      </fill>
    </dxf>
    <dxf>
      <fill>
        <patternFill patternType="solid">
          <fgColor rgb="FFFFFFFF"/>
          <bgColor rgb="FF000000"/>
        </patternFill>
      </fill>
    </dxf>
    <dxf>
      <fill>
        <patternFill patternType="solid">
          <fgColor rgb="FFC55A11"/>
          <bgColor rgb="FF000000"/>
        </patternFill>
      </fill>
    </dxf>
    <dxf>
      <fill>
        <patternFill patternType="solid">
          <fgColor rgb="FFFFF9DB"/>
          <bgColor rgb="FF000000"/>
        </patternFill>
      </fill>
    </dxf>
    <dxf>
      <fill>
        <patternFill>
          <bgColor rgb="FFFDEBD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9DB"/>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DEBDD"/>
      <rgbColor rgb="FF99CCFF"/>
      <rgbColor rgb="FFFF99CC"/>
      <rgbColor rgb="FFCC99FF"/>
      <rgbColor rgb="FFFFCC99"/>
      <rgbColor rgb="FF3366FF"/>
      <rgbColor rgb="FF33CCCC"/>
      <rgbColor rgb="FF99CC00"/>
      <rgbColor rgb="FFFFCC00"/>
      <rgbColor rgb="FFFF9900"/>
      <rgbColor rgb="FFC55A11"/>
      <rgbColor rgb="FF595959"/>
      <rgbColor rgb="FF969696"/>
      <rgbColor rgb="FF003366"/>
      <rgbColor rgb="FF339966"/>
      <rgbColor rgb="FF003300"/>
      <rgbColor rgb="FF333300"/>
      <rgbColor rgb="FF993300"/>
      <rgbColor rgb="FF993366"/>
      <rgbColor rgb="FF333399"/>
      <rgbColor rgb="FF232F3E"/>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G235"/>
  <sheetViews>
    <sheetView showFormulas="0" showGridLines="1" showRowColHeaders="1" showZeros="1" rightToLeft="0" tabSelected="1" showOutlineSymbols="1" defaultGridColor="1"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baseColWidth="8" defaultColWidth="8.6796875" defaultRowHeight="15" zeroHeight="0" outlineLevelRow="0"/>
  <cols>
    <col width="5" customWidth="1" style="21" min="1" max="1"/>
    <col width="16" customWidth="1" style="21" min="2" max="2"/>
    <col width="30" customWidth="1" style="21" min="3" max="3"/>
    <col width="60" customWidth="1" style="21" min="4" max="4"/>
    <col width="48" customWidth="1" style="21" min="5" max="5"/>
    <col width="8" customWidth="1" style="21" min="6" max="6"/>
    <col width="14" customWidth="1" style="21" min="7" max="7"/>
  </cols>
  <sheetData>
    <row r="1" ht="21.6" customHeight="1" s="22">
      <c r="A1" s="23" t="inlineStr">
        <is>
          <t>AWS 認定ソリューションアーキテクト – アソシエイト(SAA-C03)重要キーワード集</t>
        </is>
      </c>
    </row>
    <row r="2" ht="15" customHeight="1" s="22">
      <c r="A2" s="24" t="inlineStr">
        <is>
          <t>重要度:★★★=最頻出 / ★★=頻出 / ★=押さえておきたい。「理解度」列(黄色)はプルダウンで自分の習熟度を記録できます。</t>
        </is>
      </c>
    </row>
    <row r="4" ht="15" customHeight="1" s="22">
      <c r="A4" s="25" t="inlineStr">
        <is>
          <t>No</t>
        </is>
      </c>
      <c r="B4" s="26" t="inlineStr">
        <is>
          <t>分野</t>
        </is>
      </c>
      <c r="C4" s="26" t="inlineStr">
        <is>
          <t>キーワード</t>
        </is>
      </c>
      <c r="D4" s="26" t="inlineStr">
        <is>
          <t>概要</t>
        </is>
      </c>
      <c r="E4" s="26" t="inlineStr">
        <is>
          <t>試験での頻出ポイント</t>
        </is>
      </c>
      <c r="F4" s="26" t="inlineStr">
        <is>
          <t>重要度</t>
        </is>
      </c>
      <c r="G4" s="26" t="inlineStr">
        <is>
          <t>理解度</t>
        </is>
      </c>
    </row>
    <row r="5" ht="29.85" customHeight="1" s="22">
      <c r="A5" s="34" t="n">
        <v>1</v>
      </c>
      <c r="B5" s="35" t="inlineStr">
        <is>
          <t>コンピューティング</t>
        </is>
      </c>
      <c r="C5" s="36" t="inlineStr">
        <is>
          <t>Amazon EC2</t>
        </is>
      </c>
      <c r="D5" s="35" t="inlineStr">
        <is>
          <t>仮想サーバー。インスタンスタイプ(汎用/コンピューティング最適化/メモリ最適化/ストレージ最適化/高速コンピューティング)を選んで起動する</t>
        </is>
      </c>
      <c r="E5" s="35" t="inlineStr">
        <is>
          <t>ワークロードに合うインスタンスファミリーの選択</t>
        </is>
      </c>
      <c r="F5" s="38" t="inlineStr">
        <is>
          <t>★★★</t>
        </is>
      </c>
      <c r="G5" s="39" t="n"/>
    </row>
    <row r="6" ht="29.85" customHeight="1" s="22">
      <c r="A6" s="34" t="n">
        <v>2</v>
      </c>
      <c r="B6" s="35" t="inlineStr">
        <is>
          <t>コンピューティング</t>
        </is>
      </c>
      <c r="C6" s="32" t="inlineStr">
        <is>
          <t>オンデマンドインスタンス</t>
        </is>
      </c>
      <c r="D6" s="35" t="inlineStr">
        <is>
          <t>秒/時間単位課金で長期契約なし</t>
        </is>
      </c>
      <c r="E6" s="35" t="inlineStr">
        <is>
          <t>短期・予測不能・中断不可のワークロード</t>
        </is>
      </c>
      <c r="F6" s="38" t="inlineStr">
        <is>
          <t>★★★</t>
        </is>
      </c>
      <c r="G6" s="39" t="n"/>
    </row>
    <row r="7" ht="29.85" customHeight="1" s="22">
      <c r="A7" s="34" t="n">
        <v>3</v>
      </c>
      <c r="B7" s="35" t="inlineStr">
        <is>
          <t>コンピューティング</t>
        </is>
      </c>
      <c r="C7" s="32" t="inlineStr">
        <is>
          <t>リザーブドインスタンス(RI)</t>
        </is>
      </c>
      <c r="D7" s="37" t="inlineStr">
        <is>
          <t>1年/3年の利用を約束して大幅割引。スタンダードとコンバーティブルがある</t>
        </is>
      </c>
      <c r="E7" s="35" t="inlineStr">
        <is>
          <t>常時稼働の安定ワークロードのコスト削減</t>
        </is>
      </c>
      <c r="F7" s="38" t="inlineStr">
        <is>
          <t>★★★</t>
        </is>
      </c>
      <c r="G7" s="39" t="n"/>
    </row>
    <row r="8" ht="29.85" customHeight="1" s="22">
      <c r="A8" s="34" t="n">
        <v>4</v>
      </c>
      <c r="B8" s="35" t="inlineStr">
        <is>
          <t>コンピューティング</t>
        </is>
      </c>
      <c r="C8" s="36" t="inlineStr">
        <is>
          <t>Savings Plans</t>
        </is>
      </c>
      <c r="D8" s="37" t="inlineStr">
        <is>
          <t>1年/3年で時間あたりの利用額をコミットして割引。Compute Savings PlansはEC2・Fargate・Lambdaに適用</t>
        </is>
      </c>
      <c r="E8" s="35" t="inlineStr">
        <is>
          <t>インスタンスタイプやリージョンを変える可能性がある場合はRIより柔軟</t>
        </is>
      </c>
      <c r="F8" s="38" t="inlineStr">
        <is>
          <t>★★★</t>
        </is>
      </c>
      <c r="G8" s="39" t="n"/>
    </row>
    <row r="9" ht="29.85" customHeight="1" s="22">
      <c r="A9" s="34" t="n">
        <v>5</v>
      </c>
      <c r="B9" s="35" t="inlineStr">
        <is>
          <t>コンピューティング</t>
        </is>
      </c>
      <c r="C9" s="32" t="inlineStr">
        <is>
          <t>スポットインスタンス</t>
        </is>
      </c>
      <c r="D9" s="37" t="inlineStr">
        <is>
          <t>AWSの余剰キャパシティを最大90%割引で利用。2分前通知で中断されうる</t>
        </is>
      </c>
      <c r="E9" s="35" t="inlineStr">
        <is>
          <t>中断耐性のあるバッチ処理・ビッグデータ処理・CI。DBなど中断不可には不向き</t>
        </is>
      </c>
      <c r="F9" s="38" t="inlineStr">
        <is>
          <t>★★★</t>
        </is>
      </c>
      <c r="G9" s="39" t="n"/>
    </row>
    <row r="10" ht="29.85" customHeight="1" s="22">
      <c r="A10" s="34" t="n">
        <v>6</v>
      </c>
      <c r="B10" s="35" t="inlineStr">
        <is>
          <t>コンピューティング</t>
        </is>
      </c>
      <c r="C10" s="36" t="inlineStr">
        <is>
          <t>Dedicated Hosts / Dedicated Instances</t>
        </is>
      </c>
      <c r="D10" s="35" t="inlineStr">
        <is>
          <t>物理サーバーを専有。Dedicated Hostsはソケット・コア単位のライセンス持ち込み(BYOL)が可能</t>
        </is>
      </c>
      <c r="E10" s="35" t="inlineStr">
        <is>
          <t>ライセンス要件・コンプライアンス要件があるとき</t>
        </is>
      </c>
      <c r="F10" s="38" t="inlineStr">
        <is>
          <t>★★</t>
        </is>
      </c>
      <c r="G10" s="39" t="n"/>
    </row>
    <row r="11" ht="29.85" customHeight="1" s="22">
      <c r="A11" s="34" t="n">
        <v>7</v>
      </c>
      <c r="B11" s="35" t="inlineStr">
        <is>
          <t>コンピューティング</t>
        </is>
      </c>
      <c r="C11" s="32" t="inlineStr">
        <is>
          <t>プレイスメントグループ</t>
        </is>
      </c>
      <c r="D11" s="35" t="inlineStr">
        <is>
          <t>インスタンスの物理配置を制御。クラスター(低レイテンシ)、パーティション(Hadoop等の大規模分散)、スプレッド(障害分離・AZあたり最大7台)</t>
        </is>
      </c>
      <c r="E11" s="37" t="inlineStr">
        <is>
          <t>HPCはクラスター、重要少数インスタンスの分離はスプレッド</t>
        </is>
      </c>
      <c r="F11" s="38" t="inlineStr">
        <is>
          <t>★★</t>
        </is>
      </c>
      <c r="G11" s="39" t="n"/>
    </row>
    <row r="12" ht="29.85" customHeight="1" s="22">
      <c r="A12" s="34" t="n">
        <v>8</v>
      </c>
      <c r="B12" s="35" t="inlineStr">
        <is>
          <t>コンピューティング</t>
        </is>
      </c>
      <c r="C12" s="36" t="inlineStr">
        <is>
          <t>EC2 Auto Scaling</t>
        </is>
      </c>
      <c r="D12" s="35" t="inlineStr">
        <is>
          <t>需要に応じてインスタンス数を自動増減。起動テンプレート、ターゲット追跡/ステップ/スケジュール/予測スケーリング</t>
        </is>
      </c>
      <c r="E12" s="35" t="inlineStr">
        <is>
          <t>ヘルスチェックによる自動復旧、ELBとの組み合わせで高可用性</t>
        </is>
      </c>
      <c r="F12" s="38" t="inlineStr">
        <is>
          <t>★★★</t>
        </is>
      </c>
      <c r="G12" s="39" t="n"/>
    </row>
    <row r="13" ht="29.85" customHeight="1" s="22">
      <c r="A13" s="34" t="n">
        <v>9</v>
      </c>
      <c r="B13" s="35" t="inlineStr">
        <is>
          <t>コンピューティング</t>
        </is>
      </c>
      <c r="C13" s="32" t="inlineStr">
        <is>
          <t>起動テンプレート</t>
        </is>
      </c>
      <c r="D13" s="37" t="inlineStr">
        <is>
          <t>AMI・インスタンスタイプ・SGなど起動設定のテンプレート。起動設定(Launch Configuration)の後継</t>
        </is>
      </c>
      <c r="E13" s="35" t="inlineStr">
        <is>
          <t>バージョン管理可能。複数インスタンスタイプ・スポット混在に対応</t>
        </is>
      </c>
      <c r="F13" s="38" t="inlineStr">
        <is>
          <t>★</t>
        </is>
      </c>
      <c r="G13" s="39" t="n"/>
    </row>
    <row r="14" ht="29.85" customHeight="1" s="22">
      <c r="A14" s="34" t="n">
        <v>10</v>
      </c>
      <c r="B14" s="35" t="inlineStr">
        <is>
          <t>コンピューティング</t>
        </is>
      </c>
      <c r="C14" s="36" t="inlineStr">
        <is>
          <t>AMI</t>
        </is>
      </c>
      <c r="D14" s="37" t="inlineStr">
        <is>
          <t>EC2の起動イメージ。リージョン単位で、別リージョンへはコピーが必要</t>
        </is>
      </c>
      <c r="E14" s="37" t="inlineStr">
        <is>
          <t>DRで別リージョンにAMIをコピー</t>
        </is>
      </c>
      <c r="F14" s="38" t="inlineStr">
        <is>
          <t>★★</t>
        </is>
      </c>
      <c r="G14" s="39" t="n"/>
    </row>
    <row r="15" ht="29.85" customHeight="1" s="22">
      <c r="A15" s="34" t="n">
        <v>11</v>
      </c>
      <c r="B15" s="35" t="inlineStr">
        <is>
          <t>コンピューティング</t>
        </is>
      </c>
      <c r="C15" s="36" t="inlineStr">
        <is>
          <t>EC2インスタンスストア</t>
        </is>
      </c>
      <c r="D15" s="35" t="inlineStr">
        <is>
          <t>ホストに物理接続された一時ストレージ。停止・終了でデータ消失</t>
        </is>
      </c>
      <c r="E15" s="35" t="inlineStr">
        <is>
          <t>超高IOPSの一時データ・キャッシュ用。永続化が必要なら不可</t>
        </is>
      </c>
      <c r="F15" s="38" t="inlineStr">
        <is>
          <t>★★</t>
        </is>
      </c>
      <c r="G15" s="39" t="n"/>
    </row>
    <row r="16" ht="29.85" customHeight="1" s="22">
      <c r="A16" s="34" t="n">
        <v>12</v>
      </c>
      <c r="B16" s="35" t="inlineStr">
        <is>
          <t>コンピューティング</t>
        </is>
      </c>
      <c r="C16" s="36" t="inlineStr">
        <is>
          <t>AWS Lambda</t>
        </is>
      </c>
      <c r="D16" s="35" t="inlineStr">
        <is>
          <t>サーバーレスでコードを実行。最大実行時間15分、メモリ最大10GB、リクエスト単位課金</t>
        </is>
      </c>
      <c r="E16" s="35" t="inlineStr">
        <is>
          <t>イベント駆動処理(S3アップロード等)。15分超の処理は不向き</t>
        </is>
      </c>
      <c r="F16" s="38" t="inlineStr">
        <is>
          <t>★★★</t>
        </is>
      </c>
      <c r="G16" s="39" t="n"/>
    </row>
    <row r="17" ht="29.85" customHeight="1" s="22">
      <c r="A17" s="34" t="n">
        <v>13</v>
      </c>
      <c r="B17" s="35" t="inlineStr">
        <is>
          <t>コンピューティング</t>
        </is>
      </c>
      <c r="C17" s="36" t="inlineStr">
        <is>
          <t>Amazon ECS</t>
        </is>
      </c>
      <c r="D17" s="37" t="inlineStr">
        <is>
          <t>AWS独自のコンテナオーケストレーション。コンテナの起動・停止・配置・スケーリングを管理する。起動タイプはEC2またはFargate</t>
        </is>
      </c>
      <c r="E17" s="35" t="inlineStr">
        <is>
          <t>コンテナ化アプリのデプロイ</t>
        </is>
      </c>
      <c r="F17" s="38" t="inlineStr">
        <is>
          <t>★★</t>
        </is>
      </c>
      <c r="G17" s="39" t="n"/>
    </row>
    <row r="18" ht="29.85" customHeight="1" s="22">
      <c r="A18" s="34" t="n">
        <v>14</v>
      </c>
      <c r="B18" s="35" t="inlineStr">
        <is>
          <t>コンピューティング</t>
        </is>
      </c>
      <c r="C18" s="36" t="inlineStr">
        <is>
          <t>Amazon EKS</t>
        </is>
      </c>
      <c r="D18" s="35" t="inlineStr">
        <is>
          <t>マネージドKubernetes。コントロールプレーンの運用をAWSに任せられ、既存のKubernetesのツールをそのまま使える</t>
        </is>
      </c>
      <c r="E18" s="35" t="inlineStr">
        <is>
          <t>既存のKubernetes資産をそのまま移行したい場合</t>
        </is>
      </c>
      <c r="F18" s="38" t="inlineStr">
        <is>
          <t>★★</t>
        </is>
      </c>
      <c r="G18" s="39" t="n"/>
    </row>
    <row r="19" ht="29.85" customHeight="1" s="22">
      <c r="A19" s="34" t="n">
        <v>15</v>
      </c>
      <c r="B19" s="35" t="inlineStr">
        <is>
          <t>コンピューティング</t>
        </is>
      </c>
      <c r="C19" s="36" t="inlineStr">
        <is>
          <t>AWS Fargate</t>
        </is>
      </c>
      <c r="D19" s="35" t="inlineStr">
        <is>
          <t>サーバー管理不要でコンテナを実行するサーバーレスエンジン(ECS/EKSで利用)</t>
        </is>
      </c>
      <c r="E19" s="35" t="inlineStr">
        <is>
          <t>「インフラ管理なしでコンテナ」→Fargate</t>
        </is>
      </c>
      <c r="F19" s="38" t="inlineStr">
        <is>
          <t>★★★</t>
        </is>
      </c>
      <c r="G19" s="39" t="n"/>
    </row>
    <row r="20" ht="29.85" customHeight="1" s="22">
      <c r="A20" s="34" t="n">
        <v>16</v>
      </c>
      <c r="B20" s="35" t="inlineStr">
        <is>
          <t>コンピューティング</t>
        </is>
      </c>
      <c r="C20" s="36" t="inlineStr">
        <is>
          <t>AWS Elastic Beanstalk</t>
        </is>
      </c>
      <c r="D20" s="35" t="inlineStr">
        <is>
          <t>コードをアップロードするだけでEC2・ELB・Auto Scaling等を自動構築するPaaS</t>
        </is>
      </c>
      <c r="E20" s="35" t="inlineStr">
        <is>
          <t>開発者がインフラを意識せず素早くデプロイしたい場合</t>
        </is>
      </c>
      <c r="F20" s="38" t="inlineStr">
        <is>
          <t>★</t>
        </is>
      </c>
      <c r="G20" s="39" t="n"/>
    </row>
    <row r="21" ht="29.85" customHeight="1" s="22">
      <c r="A21" s="34" t="n">
        <v>17</v>
      </c>
      <c r="B21" s="35" t="inlineStr">
        <is>
          <t>コンピューティング</t>
        </is>
      </c>
      <c r="C21" s="36" t="inlineStr">
        <is>
          <t>AWS Batch</t>
        </is>
      </c>
      <c r="D21" s="35" t="inlineStr">
        <is>
          <t>バッチジョブのスケジューリングと実行を管理。スポットと相性が良い</t>
        </is>
      </c>
      <c r="E21" s="37" t="inlineStr">
        <is>
          <t>Lambdaの15分制限を超える大規模バッチ</t>
        </is>
      </c>
      <c r="F21" s="38" t="inlineStr">
        <is>
          <t>★</t>
        </is>
      </c>
      <c r="G21" s="39" t="n"/>
    </row>
    <row r="22" ht="29.85" customHeight="1" s="22">
      <c r="A22" s="34" t="n">
        <v>18</v>
      </c>
      <c r="B22" s="35" t="inlineStr">
        <is>
          <t>ストレージ</t>
        </is>
      </c>
      <c r="C22" s="36" t="inlineStr">
        <is>
          <t>Amazon S3</t>
        </is>
      </c>
      <c r="D22" s="35" t="inlineStr">
        <is>
          <t>オブジェクトストレージ。耐久性99.999999999%(イレブンナイン)、容量無制限、1オブジェクト最大5TB</t>
        </is>
      </c>
      <c r="E22" s="35" t="inlineStr">
        <is>
          <t>静的コンテンツ・データレイク・バックアップ。S3は強い整合性(read-after-write)</t>
        </is>
      </c>
      <c r="F22" s="38" t="inlineStr">
        <is>
          <t>★★★</t>
        </is>
      </c>
      <c r="G22" s="39" t="n"/>
    </row>
    <row r="23" ht="29.85" customHeight="1" s="22">
      <c r="A23" s="34" t="n">
        <v>19</v>
      </c>
      <c r="B23" s="35" t="inlineStr">
        <is>
          <t>ストレージ</t>
        </is>
      </c>
      <c r="C23" s="36" t="inlineStr">
        <is>
          <t>S3ストレージクラス</t>
        </is>
      </c>
      <c r="D23" s="37" t="inlineStr">
        <is>
          <t>Standard / Intelligent-Tiering / Standard-IA / One Zone-IA / Glacier Instant Retrieval / Glacier Flexible Retrieval / Glacier Deep Archive</t>
        </is>
      </c>
      <c r="E23" s="35" t="inlineStr">
        <is>
          <t>アクセス頻度と取り出し時間の要件で選ぶ。アクセスパターン不明→Intelligent-Tiering</t>
        </is>
      </c>
      <c r="F23" s="38" t="inlineStr">
        <is>
          <t>★★★</t>
        </is>
      </c>
      <c r="G23" s="39" t="n"/>
    </row>
    <row r="24" ht="29.85" customHeight="1" s="22">
      <c r="A24" s="34" t="n">
        <v>20</v>
      </c>
      <c r="B24" s="35" t="inlineStr">
        <is>
          <t>ストレージ</t>
        </is>
      </c>
      <c r="C24" s="36" t="inlineStr">
        <is>
          <t>S3 Glacier Deep Archive</t>
        </is>
      </c>
      <c r="D24" s="35" t="inlineStr">
        <is>
          <t>最安のアーカイブ。取り出しに標準12時間以内</t>
        </is>
      </c>
      <c r="E24" s="35" t="inlineStr">
        <is>
          <t>長期保管(7〜10年)・コンプライアンス用、取り出し頻度ほぼゼロ</t>
        </is>
      </c>
      <c r="F24" s="38" t="inlineStr">
        <is>
          <t>★★★</t>
        </is>
      </c>
      <c r="G24" s="39" t="n"/>
    </row>
    <row r="25" ht="15" customHeight="1" s="22">
      <c r="A25" s="34" t="n">
        <v>21</v>
      </c>
      <c r="B25" s="35" t="inlineStr">
        <is>
          <t>ストレージ</t>
        </is>
      </c>
      <c r="C25" s="36" t="inlineStr">
        <is>
          <t>S3ライフサイクルポリシー</t>
        </is>
      </c>
      <c r="D25" s="35" t="inlineStr">
        <is>
          <t>経過日数に応じてストレージクラスを自動移行・自動削除</t>
        </is>
      </c>
      <c r="E25" s="35" t="inlineStr">
        <is>
          <t>「30日後にIA、90日後にGlacier」型の問題</t>
        </is>
      </c>
      <c r="F25" s="38" t="inlineStr">
        <is>
          <t>★★★</t>
        </is>
      </c>
      <c r="G25" s="39" t="n"/>
    </row>
    <row r="26" ht="15" customHeight="1" s="22">
      <c r="A26" s="34" t="n">
        <v>22</v>
      </c>
      <c r="B26" s="35" t="inlineStr">
        <is>
          <t>ストレージ</t>
        </is>
      </c>
      <c r="C26" s="36" t="inlineStr">
        <is>
          <t>S3バージョニング</t>
        </is>
      </c>
      <c r="D26" s="35" t="inlineStr">
        <is>
          <t>オブジェクトの全バージョンを保持し、誤削除・上書きから保護</t>
        </is>
      </c>
      <c r="E26" s="35" t="inlineStr">
        <is>
          <t>誤削除対策。レプリケーションやObject Lockの前提条件</t>
        </is>
      </c>
      <c r="F26" s="38" t="inlineStr">
        <is>
          <t>★★★</t>
        </is>
      </c>
      <c r="G26" s="39" t="n"/>
    </row>
    <row r="27" ht="29.85" customHeight="1" s="22">
      <c r="A27" s="34" t="n">
        <v>23</v>
      </c>
      <c r="B27" s="35" t="inlineStr">
        <is>
          <t>ストレージ</t>
        </is>
      </c>
      <c r="C27" s="36" t="inlineStr">
        <is>
          <t>S3レプリケーション(CRR/SRR)</t>
        </is>
      </c>
      <c r="D27" s="35" t="inlineStr">
        <is>
          <t>別リージョン(CRR)または同一リージョン(SRR)へ自動複製。バージョニング必須</t>
        </is>
      </c>
      <c r="E27" s="37" t="inlineStr">
        <is>
          <t>DR・レイテンシ削減・コンプライアンス</t>
        </is>
      </c>
      <c r="F27" s="38" t="inlineStr">
        <is>
          <t>★★</t>
        </is>
      </c>
      <c r="G27" s="39" t="n"/>
    </row>
    <row r="28" ht="29.85" customHeight="1" s="22">
      <c r="A28" s="34" t="n">
        <v>24</v>
      </c>
      <c r="B28" s="35" t="inlineStr">
        <is>
          <t>ストレージ</t>
        </is>
      </c>
      <c r="C28" s="36" t="inlineStr">
        <is>
          <t>S3 Object Lock</t>
        </is>
      </c>
      <c r="D28" s="37" t="inlineStr">
        <is>
          <t>WORM(書き込み1回・読み取り多数)でオブジェクトの削除・変更を防止。ガバナンス/コンプライアンスモード</t>
        </is>
      </c>
      <c r="E28" s="35" t="inlineStr">
        <is>
          <t>規制要件で改ざん防止が必要な場合</t>
        </is>
      </c>
      <c r="F28" s="38" t="inlineStr">
        <is>
          <t>★★</t>
        </is>
      </c>
      <c r="G28" s="39" t="n"/>
    </row>
    <row r="29" ht="29.85" customHeight="1" s="22">
      <c r="A29" s="34" t="n">
        <v>25</v>
      </c>
      <c r="B29" s="35" t="inlineStr">
        <is>
          <t>ストレージ</t>
        </is>
      </c>
      <c r="C29" s="36" t="inlineStr">
        <is>
          <t>S3署名付きURL(Presigned URL)</t>
        </is>
      </c>
      <c r="D29" s="35" t="inlineStr">
        <is>
          <t>期限付きで特定オブジェクトへのアクセスを許可するURL</t>
        </is>
      </c>
      <c r="E29" s="35" t="inlineStr">
        <is>
          <t>非公開バケットのファイルを一時的に共有・アップロードさせる</t>
        </is>
      </c>
      <c r="F29" s="38" t="inlineStr">
        <is>
          <t>★★</t>
        </is>
      </c>
      <c r="G29" s="39" t="n"/>
    </row>
    <row r="30" ht="29.85" customHeight="1" s="22">
      <c r="A30" s="34" t="n">
        <v>26</v>
      </c>
      <c r="B30" s="35" t="inlineStr">
        <is>
          <t>ストレージ</t>
        </is>
      </c>
      <c r="C30" s="36" t="inlineStr">
        <is>
          <t>S3 Transfer Acceleration</t>
        </is>
      </c>
      <c r="D30" s="37" t="inlineStr">
        <is>
          <t>CloudFrontのエッジを経由して遠隔地からのS3アップロードを高速化</t>
        </is>
      </c>
      <c r="E30" s="35" t="inlineStr">
        <is>
          <t>世界中から大容量ファイルを1つのバケットへアップロード</t>
        </is>
      </c>
      <c r="F30" s="38" t="inlineStr">
        <is>
          <t>★★</t>
        </is>
      </c>
      <c r="G30" s="39" t="n"/>
    </row>
    <row r="31" ht="29.85" customHeight="1" s="22">
      <c r="A31" s="34" t="n">
        <v>27</v>
      </c>
      <c r="B31" s="35" t="inlineStr">
        <is>
          <t>ストレージ</t>
        </is>
      </c>
      <c r="C31" s="32" t="inlineStr">
        <is>
          <t>マルチパートアップロード</t>
        </is>
      </c>
      <c r="D31" s="35" t="inlineStr">
        <is>
          <t>大きなオブジェクトを分割して並列アップロード。100MB超で推奨、5GB超は必須</t>
        </is>
      </c>
      <c r="E31" s="35" t="inlineStr">
        <is>
          <t>大容量ファイルのアップロード高速化・再送効率化</t>
        </is>
      </c>
      <c r="F31" s="38" t="inlineStr">
        <is>
          <t>★</t>
        </is>
      </c>
      <c r="G31" s="39" t="n"/>
    </row>
    <row r="32" ht="15" customHeight="1" s="22">
      <c r="A32" s="34" t="n">
        <v>28</v>
      </c>
      <c r="B32" s="35" t="inlineStr">
        <is>
          <t>ストレージ</t>
        </is>
      </c>
      <c r="C32" s="36" t="inlineStr">
        <is>
          <t>S3イベント通知</t>
        </is>
      </c>
      <c r="D32" s="35" t="inlineStr">
        <is>
          <t>オブジェクト作成・削除時にLambda・SQS・SNS・EventBridgeへ通知</t>
        </is>
      </c>
      <c r="E32" s="35" t="inlineStr">
        <is>
          <t>アップロードをトリガーにした処理(サムネイル生成等)</t>
        </is>
      </c>
      <c r="F32" s="38" t="inlineStr">
        <is>
          <t>★★</t>
        </is>
      </c>
      <c r="G32" s="39" t="n"/>
    </row>
    <row r="33" ht="29.85" customHeight="1" s="22">
      <c r="A33" s="34" t="n">
        <v>29</v>
      </c>
      <c r="B33" s="35" t="inlineStr">
        <is>
          <t>ストレージ</t>
        </is>
      </c>
      <c r="C33" s="36" t="inlineStr">
        <is>
          <t>Amazon EBS</t>
        </is>
      </c>
      <c r="D33" s="37" t="inlineStr">
        <is>
          <t>EC2用ブロックストレージ。AZ単位で、同一AZのインスタンスにのみアタッチ可能</t>
        </is>
      </c>
      <c r="E33" s="37" t="inlineStr">
        <is>
          <t>gp3(汎用)、io2(高IOPS/DB向け)、st1(スループット)、sc1(コールド)の選択</t>
        </is>
      </c>
      <c r="F33" s="38" t="inlineStr">
        <is>
          <t>★★★</t>
        </is>
      </c>
      <c r="G33" s="39" t="n"/>
    </row>
    <row r="34" ht="29.85" customHeight="1" s="22">
      <c r="A34" s="34" t="n">
        <v>30</v>
      </c>
      <c r="B34" s="35" t="inlineStr">
        <is>
          <t>ストレージ</t>
        </is>
      </c>
      <c r="C34" s="36" t="inlineStr">
        <is>
          <t>EBSスナップショット</t>
        </is>
      </c>
      <c r="D34" s="37" t="inlineStr">
        <is>
          <t>EBSの増分バックアップ(S3に保存)。別リージョンへコピー可能</t>
        </is>
      </c>
      <c r="E34" s="35" t="inlineStr">
        <is>
          <t>別AZへのボリューム移動・DR。Data Lifecycle Managerで自動化</t>
        </is>
      </c>
      <c r="F34" s="38" t="inlineStr">
        <is>
          <t>★★</t>
        </is>
      </c>
      <c r="G34" s="39" t="n"/>
    </row>
    <row r="35" ht="15" customHeight="1" s="22">
      <c r="A35" s="34" t="n">
        <v>31</v>
      </c>
      <c r="B35" s="35" t="inlineStr">
        <is>
          <t>ストレージ</t>
        </is>
      </c>
      <c r="C35" s="36" t="inlineStr">
        <is>
          <t>EBSマルチアタッチ</t>
        </is>
      </c>
      <c r="D35" s="37" t="inlineStr">
        <is>
          <t>io1/io2ボリュームを同一AZ内の複数インスタンスに同時接続</t>
        </is>
      </c>
      <c r="E35" s="35" t="inlineStr">
        <is>
          <t>クラスター対応アプリのみ。通常の共有ファイルにはEFS</t>
        </is>
      </c>
      <c r="F35" s="38" t="inlineStr">
        <is>
          <t>★</t>
        </is>
      </c>
      <c r="G35" s="39" t="n"/>
    </row>
    <row r="36" ht="29.85" customHeight="1" s="22">
      <c r="A36" s="34" t="n">
        <v>32</v>
      </c>
      <c r="B36" s="35" t="inlineStr">
        <is>
          <t>ストレージ</t>
        </is>
      </c>
      <c r="C36" s="36" t="inlineStr">
        <is>
          <t>Amazon EFS</t>
        </is>
      </c>
      <c r="D36" s="37" t="inlineStr">
        <is>
          <t>Linux向けマネージドNFS。複数AZ・多数のEC2から同時マウント可能、自動拡張</t>
        </is>
      </c>
      <c r="E36" s="35" t="inlineStr">
        <is>
          <t>複数インスタンスで共有するファイルストレージ(Linux)</t>
        </is>
      </c>
      <c r="F36" s="38" t="inlineStr">
        <is>
          <t>★★★</t>
        </is>
      </c>
      <c r="G36" s="39" t="n"/>
    </row>
    <row r="37" ht="23.85" customHeight="1" s="22">
      <c r="A37" s="34" t="n">
        <v>33</v>
      </c>
      <c r="B37" s="35" t="inlineStr">
        <is>
          <t>ストレージ</t>
        </is>
      </c>
      <c r="C37" s="36" t="inlineStr">
        <is>
          <t>Amazon FSx for Windows File Server</t>
        </is>
      </c>
      <c r="D37" s="37" t="inlineStr">
        <is>
          <t>SMBプロトコル・Active Directory連携のWindowsファイルサーバー</t>
        </is>
      </c>
      <c r="E37" s="37" t="inlineStr">
        <is>
          <t>Windows環境の共有ファイル</t>
        </is>
      </c>
      <c r="F37" s="38" t="inlineStr">
        <is>
          <t>★★</t>
        </is>
      </c>
      <c r="G37" s="39" t="n"/>
    </row>
    <row r="38" ht="15" customHeight="1" s="22">
      <c r="A38" s="34" t="n">
        <v>34</v>
      </c>
      <c r="B38" s="35" t="inlineStr">
        <is>
          <t>ストレージ</t>
        </is>
      </c>
      <c r="C38" s="36" t="inlineStr">
        <is>
          <t>Amazon FSx for Lustre</t>
        </is>
      </c>
      <c r="D38" s="37" t="inlineStr">
        <is>
          <t>HPC・機械学習向けの高性能並列ファイルシステム。S3と連携可能</t>
        </is>
      </c>
      <c r="E38" s="37" t="inlineStr">
        <is>
          <t>HPC・高速な大規模データ処理</t>
        </is>
      </c>
      <c r="F38" s="38" t="inlineStr">
        <is>
          <t>★★</t>
        </is>
      </c>
      <c r="G38" s="39" t="n"/>
    </row>
    <row r="39" ht="29.85" customHeight="1" s="22">
      <c r="A39" s="34" t="n">
        <v>35</v>
      </c>
      <c r="B39" s="35" t="inlineStr">
        <is>
          <t>ストレージ</t>
        </is>
      </c>
      <c r="C39" s="36" t="inlineStr">
        <is>
          <t>AWS Storage Gateway</t>
        </is>
      </c>
      <c r="D39" s="35" t="inlineStr">
        <is>
          <t>オンプレミスとクラウドストレージをつなぐハイブリッドサービス。File / Volume / Tape Gateway</t>
        </is>
      </c>
      <c r="E39" s="35" t="inlineStr">
        <is>
          <t>オンプレのバックアップをS3へ、テープ置き換え(Tape Gateway)</t>
        </is>
      </c>
      <c r="F39" s="38" t="inlineStr">
        <is>
          <t>★★</t>
        </is>
      </c>
      <c r="G39" s="39" t="n"/>
    </row>
    <row r="40" ht="15" customHeight="1" s="22">
      <c r="A40" s="34" t="n">
        <v>36</v>
      </c>
      <c r="B40" s="35" t="inlineStr">
        <is>
          <t>ストレージ</t>
        </is>
      </c>
      <c r="C40" s="36" t="inlineStr">
        <is>
          <t>AWS Snowファミリー</t>
        </is>
      </c>
      <c r="D40" s="35" t="inlineStr">
        <is>
          <t>物理デバイスで大容量データをオフライン移行(Snowball Edge等)</t>
        </is>
      </c>
      <c r="E40" s="35" t="inlineStr">
        <is>
          <t>ネットワークで数週間以上かかるTB〜PB級の移行</t>
        </is>
      </c>
      <c r="F40" s="38" t="inlineStr">
        <is>
          <t>★★</t>
        </is>
      </c>
      <c r="G40" s="39" t="n"/>
    </row>
    <row r="41" ht="29.85" customHeight="1" s="22">
      <c r="A41" s="34" t="n">
        <v>37</v>
      </c>
      <c r="B41" s="35" t="inlineStr">
        <is>
          <t>ストレージ</t>
        </is>
      </c>
      <c r="C41" s="36" t="inlineStr">
        <is>
          <t>AWS DataSync</t>
        </is>
      </c>
      <c r="D41" s="35" t="inlineStr">
        <is>
          <t>オンプレ⇔AWS(S3/EFS/FSx)間のオンラインデータ転送を自動化・高速化</t>
        </is>
      </c>
      <c r="E41" s="37" t="inlineStr">
        <is>
          <t>NFS/SMBからの定期的なデータ移行・同期</t>
        </is>
      </c>
      <c r="F41" s="38" t="inlineStr">
        <is>
          <t>★★</t>
        </is>
      </c>
      <c r="G41" s="39" t="n"/>
    </row>
    <row r="42" ht="29.85" customHeight="1" s="22">
      <c r="A42" s="34" t="n">
        <v>38</v>
      </c>
      <c r="B42" s="35" t="inlineStr">
        <is>
          <t>ストレージ</t>
        </is>
      </c>
      <c r="C42" s="36" t="inlineStr">
        <is>
          <t>AWS Backup</t>
        </is>
      </c>
      <c r="D42" s="35" t="inlineStr">
        <is>
          <t>複数サービス(EC2、EBS、RDS、DynamoDB、EFS等)のバックアップを一元管理。バックアッププランで取得スケジュール・保持期間を自動化</t>
        </is>
      </c>
      <c r="E42" s="35" t="inlineStr">
        <is>
          <t>バックアップポリシーの集中管理、クロスリージョン/クロスアカウントコピー</t>
        </is>
      </c>
      <c r="F42" s="38" t="inlineStr">
        <is>
          <t>★★</t>
        </is>
      </c>
      <c r="G42" s="39" t="n"/>
    </row>
    <row r="43" ht="29.85" customHeight="1" s="22">
      <c r="A43" s="34" t="n">
        <v>39</v>
      </c>
      <c r="B43" s="35" t="inlineStr">
        <is>
          <t>データベース</t>
        </is>
      </c>
      <c r="C43" s="36" t="inlineStr">
        <is>
          <t>Amazon RDS</t>
        </is>
      </c>
      <c r="D43" s="35" t="inlineStr">
        <is>
          <t>マネージドRDB(MySQL/PostgreSQL/MariaDB/Oracle/SQL Server)</t>
        </is>
      </c>
      <c r="E43" s="37" t="inlineStr">
        <is>
          <t>OSパッチ・バックアップ・フェイルオーバーをAWSに任せたいとき</t>
        </is>
      </c>
      <c r="F43" s="38" t="inlineStr">
        <is>
          <t>★★★</t>
        </is>
      </c>
      <c r="G43" s="39" t="n"/>
    </row>
    <row r="44" ht="29.85" customHeight="1" s="22">
      <c r="A44" s="34" t="n">
        <v>40</v>
      </c>
      <c r="B44" s="35" t="inlineStr">
        <is>
          <t>データベース</t>
        </is>
      </c>
      <c r="C44" s="36" t="inlineStr">
        <is>
          <t>RDSマルチAZ</t>
        </is>
      </c>
      <c r="D44" s="35" t="inlineStr">
        <is>
          <t>別AZにスタンバイを同期レプリケーション。障害時に自動フェイルオーバー</t>
        </is>
      </c>
      <c r="E44" s="35" t="inlineStr">
        <is>
          <t>高可用性(HA)目的。スタンバイは読み取り不可(従来型の場合)</t>
        </is>
      </c>
      <c r="F44" s="38" t="inlineStr">
        <is>
          <t>★★★</t>
        </is>
      </c>
      <c r="G44" s="39" t="n"/>
    </row>
    <row r="45" ht="15" customHeight="1" s="22">
      <c r="A45" s="34" t="n">
        <v>41</v>
      </c>
      <c r="B45" s="35" t="inlineStr">
        <is>
          <t>データベース</t>
        </is>
      </c>
      <c r="C45" s="36" t="inlineStr">
        <is>
          <t>RDSリードレプリカ</t>
        </is>
      </c>
      <c r="D45" s="35" t="inlineStr">
        <is>
          <t>非同期レプリケーションの読み取り専用コピー。クロスリージョン可能</t>
        </is>
      </c>
      <c r="E45" s="35" t="inlineStr">
        <is>
          <t>読み取り負荷の分散。HA目的ならマルチAZ</t>
        </is>
      </c>
      <c r="F45" s="38" t="inlineStr">
        <is>
          <t>★★★</t>
        </is>
      </c>
      <c r="G45" s="39" t="n"/>
    </row>
    <row r="46" ht="15" customHeight="1" s="22">
      <c r="A46" s="34" t="n">
        <v>42</v>
      </c>
      <c r="B46" s="35" t="inlineStr">
        <is>
          <t>データベース</t>
        </is>
      </c>
      <c r="C46" s="36" t="inlineStr">
        <is>
          <t>RDS Proxy</t>
        </is>
      </c>
      <c r="D46" s="37" t="inlineStr">
        <is>
          <t>DB接続をプール・共有し、フェイルオーバー時間も短縮</t>
        </is>
      </c>
      <c r="E46" s="37" t="inlineStr">
        <is>
          <t>Lambdaからの大量接続でDBが圧迫される問題の解決</t>
        </is>
      </c>
      <c r="F46" s="38" t="inlineStr">
        <is>
          <t>★★</t>
        </is>
      </c>
      <c r="G46" s="39" t="n"/>
    </row>
    <row r="47" ht="29.85" customHeight="1" s="22">
      <c r="A47" s="34" t="n">
        <v>43</v>
      </c>
      <c r="B47" s="35" t="inlineStr">
        <is>
          <t>データベース</t>
        </is>
      </c>
      <c r="C47" s="36" t="inlineStr">
        <is>
          <t>Amazon Aurora</t>
        </is>
      </c>
      <c r="D47" s="37" t="inlineStr">
        <is>
          <t>AWS独自の高性能RDB(MySQL/PostgreSQL互換)。3AZに6コピーを保持、最大15個のレプリカ</t>
        </is>
      </c>
      <c r="E47" s="35" t="inlineStr">
        <is>
          <t>高性能・高可用性RDBが必要な場合</t>
        </is>
      </c>
      <c r="F47" s="38" t="inlineStr">
        <is>
          <t>★★★</t>
        </is>
      </c>
      <c r="G47" s="39" t="n"/>
    </row>
    <row r="48" ht="15" customHeight="1" s="22">
      <c r="A48" s="34" t="n">
        <v>44</v>
      </c>
      <c r="B48" s="35" t="inlineStr">
        <is>
          <t>データベース</t>
        </is>
      </c>
      <c r="C48" s="36" t="inlineStr">
        <is>
          <t>Aurora Serverless</t>
        </is>
      </c>
      <c r="D48" s="35" t="inlineStr">
        <is>
          <t>負荷に応じて容量を自動スケール</t>
        </is>
      </c>
      <c r="E48" s="35" t="inlineStr">
        <is>
          <t>断続的・予測不能なワークロード</t>
        </is>
      </c>
      <c r="F48" s="38" t="inlineStr">
        <is>
          <t>★★</t>
        </is>
      </c>
      <c r="G48" s="39" t="n"/>
    </row>
    <row r="49" ht="15" customHeight="1" s="22">
      <c r="A49" s="34" t="n">
        <v>45</v>
      </c>
      <c r="B49" s="35" t="inlineStr">
        <is>
          <t>データベース</t>
        </is>
      </c>
      <c r="C49" s="36" t="inlineStr">
        <is>
          <t>Aurora Global Database</t>
        </is>
      </c>
      <c r="D49" s="35" t="inlineStr">
        <is>
          <t>リージョン間を低遅延(通常1秒未満)でレプリケーション</t>
        </is>
      </c>
      <c r="E49" s="35" t="inlineStr">
        <is>
          <t>グローバル展開・リージョンDR(RPO秒単位)</t>
        </is>
      </c>
      <c r="F49" s="38" t="inlineStr">
        <is>
          <t>★★</t>
        </is>
      </c>
      <c r="G49" s="39" t="n"/>
    </row>
    <row r="50" ht="29.85" customHeight="1" s="22">
      <c r="A50" s="34" t="n">
        <v>46</v>
      </c>
      <c r="B50" s="35" t="inlineStr">
        <is>
          <t>データベース</t>
        </is>
      </c>
      <c r="C50" s="36" t="inlineStr">
        <is>
          <t>Amazon DynamoDB</t>
        </is>
      </c>
      <c r="D50" s="35" t="inlineStr">
        <is>
          <t>フルマネージドNoSQL(キーバリュー)。1桁ミリ秒のレイテンシ、自動スケール</t>
        </is>
      </c>
      <c r="E50" s="35" t="inlineStr">
        <is>
          <t>スキーマレス・高スケール・サーバーレスとの組み合わせ</t>
        </is>
      </c>
      <c r="F50" s="38" t="inlineStr">
        <is>
          <t>★★★</t>
        </is>
      </c>
      <c r="G50" s="39" t="n"/>
    </row>
    <row r="51" ht="15" customHeight="1" s="22">
      <c r="A51" s="34" t="n">
        <v>47</v>
      </c>
      <c r="B51" s="35" t="inlineStr">
        <is>
          <t>データベース</t>
        </is>
      </c>
      <c r="C51" s="36" t="inlineStr">
        <is>
          <t>DynamoDBキャパシティモード</t>
        </is>
      </c>
      <c r="D51" s="35" t="inlineStr">
        <is>
          <t>オンデマンド(リクエスト課金)とプロビジョンド(+Auto Scaling)</t>
        </is>
      </c>
      <c r="E51" s="35" t="inlineStr">
        <is>
          <t>予測不能ならオンデマンド、安定ならプロビジョンド</t>
        </is>
      </c>
      <c r="F51" s="38" t="inlineStr">
        <is>
          <t>★★</t>
        </is>
      </c>
      <c r="G51" s="39" t="n"/>
    </row>
    <row r="52" ht="15" customHeight="1" s="22">
      <c r="A52" s="34" t="n">
        <v>48</v>
      </c>
      <c r="B52" s="35" t="inlineStr">
        <is>
          <t>データベース</t>
        </is>
      </c>
      <c r="C52" s="36" t="inlineStr">
        <is>
          <t>DynamoDB Accelerator(DAX)</t>
        </is>
      </c>
      <c r="D52" s="37" t="inlineStr">
        <is>
          <t>DynamoDB専用のインメモリキャッシュ。マイクロ秒の読み取り</t>
        </is>
      </c>
      <c r="E52" s="37" t="inlineStr">
        <is>
          <t>DynamoDBの読み取りを高速化(アプリ改修最小)</t>
        </is>
      </c>
      <c r="F52" s="38" t="inlineStr">
        <is>
          <t>★★</t>
        </is>
      </c>
      <c r="G52" s="39" t="n"/>
    </row>
    <row r="53" ht="15" customHeight="1" s="22">
      <c r="A53" s="34" t="n">
        <v>49</v>
      </c>
      <c r="B53" s="35" t="inlineStr">
        <is>
          <t>データベース</t>
        </is>
      </c>
      <c r="C53" s="36" t="inlineStr">
        <is>
          <t>DynamoDBグローバルテーブル</t>
        </is>
      </c>
      <c r="D53" s="35" t="inlineStr">
        <is>
          <t>複数リージョンにマルチアクティブでレプリケーション</t>
        </is>
      </c>
      <c r="E53" s="35" t="inlineStr">
        <is>
          <t>グローバルアプリの低レイテンシ読み書き</t>
        </is>
      </c>
      <c r="F53" s="38" t="inlineStr">
        <is>
          <t>★★</t>
        </is>
      </c>
      <c r="G53" s="39" t="n"/>
    </row>
    <row r="54" ht="15" customHeight="1" s="22">
      <c r="A54" s="34" t="n">
        <v>50</v>
      </c>
      <c r="B54" s="35" t="inlineStr">
        <is>
          <t>データベース</t>
        </is>
      </c>
      <c r="C54" s="36" t="inlineStr">
        <is>
          <t>DynamoDB Streams</t>
        </is>
      </c>
      <c r="D54" s="35" t="inlineStr">
        <is>
          <t>テーブルの変更をストリームとして取得しLambda等で処理</t>
        </is>
      </c>
      <c r="E54" s="35" t="inlineStr">
        <is>
          <t>変更データキャプチャ(CDC)・イベント駆動</t>
        </is>
      </c>
      <c r="F54" s="38" t="inlineStr">
        <is>
          <t>★</t>
        </is>
      </c>
      <c r="G54" s="39" t="n"/>
    </row>
    <row r="55" ht="29.85" customHeight="1" s="22">
      <c r="A55" s="34" t="n">
        <v>51</v>
      </c>
      <c r="B55" s="35" t="inlineStr">
        <is>
          <t>データベース</t>
        </is>
      </c>
      <c r="C55" s="36" t="inlineStr">
        <is>
          <t>Amazon ElastiCache</t>
        </is>
      </c>
      <c r="D55" s="35" t="inlineStr">
        <is>
          <t>マネージドインメモリキャッシュ(Redis OSS / Valkey / Memcached)</t>
        </is>
      </c>
      <c r="E55" s="37" t="inlineStr">
        <is>
          <t>DB負荷軽減・セッション管理。Redis系はレプリケーション・永続化あり</t>
        </is>
      </c>
      <c r="F55" s="38" t="inlineStr">
        <is>
          <t>★★★</t>
        </is>
      </c>
      <c r="G55" s="39" t="n"/>
    </row>
    <row r="56" ht="29.85" customHeight="1" s="22">
      <c r="A56" s="34" t="n">
        <v>52</v>
      </c>
      <c r="B56" s="35" t="inlineStr">
        <is>
          <t>データベース</t>
        </is>
      </c>
      <c r="C56" s="36" t="inlineStr">
        <is>
          <t>Amazon Redshift</t>
        </is>
      </c>
      <c r="D56" s="35" t="inlineStr">
        <is>
          <t>ペタバイト級のデータウェアハウス(列指向)</t>
        </is>
      </c>
      <c r="E56" s="35" t="inlineStr">
        <is>
          <t>大規模分析(OLAP)・BI。トランザクション処理(OLTP)にはRDS</t>
        </is>
      </c>
      <c r="F56" s="38" t="inlineStr">
        <is>
          <t>★★</t>
        </is>
      </c>
      <c r="G56" s="39" t="n"/>
    </row>
    <row r="57" ht="15" customHeight="1" s="22">
      <c r="A57" s="34" t="n">
        <v>53</v>
      </c>
      <c r="B57" s="35" t="inlineStr">
        <is>
          <t>データベース</t>
        </is>
      </c>
      <c r="C57" s="36" t="inlineStr">
        <is>
          <t>Amazon DocumentDB</t>
        </is>
      </c>
      <c r="D57" s="37" t="inlineStr">
        <is>
          <t>MongoDB互換のドキュメントDB</t>
        </is>
      </c>
      <c r="E57" s="37" t="inlineStr">
        <is>
          <t>MongoDBからの移行</t>
        </is>
      </c>
      <c r="F57" s="38" t="inlineStr">
        <is>
          <t>★</t>
        </is>
      </c>
      <c r="G57" s="39" t="n"/>
    </row>
    <row r="58" ht="15" customHeight="1" s="22">
      <c r="A58" s="34" t="n">
        <v>54</v>
      </c>
      <c r="B58" s="35" t="inlineStr">
        <is>
          <t>データベース</t>
        </is>
      </c>
      <c r="C58" s="36" t="inlineStr">
        <is>
          <t>Amazon Neptune</t>
        </is>
      </c>
      <c r="D58" s="35" t="inlineStr">
        <is>
          <t>グラフデータベース</t>
        </is>
      </c>
      <c r="E58" s="35" t="inlineStr">
        <is>
          <t>ソーシャルネットワーク・レコメンド・不正検知</t>
        </is>
      </c>
      <c r="F58" s="38" t="inlineStr">
        <is>
          <t>★</t>
        </is>
      </c>
      <c r="G58" s="39" t="n"/>
    </row>
    <row r="59" ht="15" customHeight="1" s="22">
      <c r="A59" s="34" t="n">
        <v>55</v>
      </c>
      <c r="B59" s="35" t="inlineStr">
        <is>
          <t>データベース</t>
        </is>
      </c>
      <c r="C59" s="36" t="inlineStr">
        <is>
          <t>Amazon Keyspaces</t>
        </is>
      </c>
      <c r="D59" s="37" t="inlineStr">
        <is>
          <t>Apache Cassandra互換のマネージドDB</t>
        </is>
      </c>
      <c r="E59" s="37" t="inlineStr">
        <is>
          <t>Cassandraからの移行</t>
        </is>
      </c>
      <c r="F59" s="38" t="inlineStr">
        <is>
          <t>★</t>
        </is>
      </c>
      <c r="G59" s="39" t="n"/>
    </row>
    <row r="60" ht="15" customHeight="1" s="22">
      <c r="A60" s="34" t="n">
        <v>56</v>
      </c>
      <c r="B60" s="35" t="inlineStr">
        <is>
          <t>データベース</t>
        </is>
      </c>
      <c r="C60" s="36" t="inlineStr">
        <is>
          <t>Amazon Timestream</t>
        </is>
      </c>
      <c r="D60" s="35" t="inlineStr">
        <is>
          <t>時系列データベース</t>
        </is>
      </c>
      <c r="E60" s="37" t="inlineStr">
        <is>
          <t>IoTセンサーデータ・メトリクスの時系列分析</t>
        </is>
      </c>
      <c r="F60" s="38" t="inlineStr">
        <is>
          <t>★</t>
        </is>
      </c>
      <c r="G60" s="39" t="n"/>
    </row>
    <row r="61" ht="29.85" customHeight="1" s="22">
      <c r="A61" s="34" t="n">
        <v>57</v>
      </c>
      <c r="B61" s="35" t="inlineStr">
        <is>
          <t>データベース</t>
        </is>
      </c>
      <c r="C61" s="36" t="inlineStr">
        <is>
          <t>Amazon QLDB</t>
        </is>
      </c>
      <c r="D61" s="35" t="inlineStr">
        <is>
          <t>改ざん不可能で、変更履歴(ジャーナル)を暗号技術で検証できる台帳データベース。2025年7月31日にサービス終了</t>
        </is>
      </c>
      <c r="E61" s="35" t="inlineStr">
        <is>
          <t>変更履歴の検証可能性が必要な場合(終了後の移行先としてはAurora PostgreSQLなどが案内されている)</t>
        </is>
      </c>
      <c r="F61" s="38" t="inlineStr">
        <is>
          <t>★</t>
        </is>
      </c>
      <c r="G61" s="39" t="n"/>
    </row>
    <row r="62" ht="15" customHeight="1" s="22">
      <c r="A62" s="34" t="n">
        <v>58</v>
      </c>
      <c r="B62" s="35" t="inlineStr">
        <is>
          <t>ネットワーク</t>
        </is>
      </c>
      <c r="C62" s="36" t="inlineStr">
        <is>
          <t>Amazon VPC</t>
        </is>
      </c>
      <c r="D62" s="37" t="inlineStr">
        <is>
          <t>AWS上の論理的に分離された仮想ネットワーク。リージョン単位</t>
        </is>
      </c>
      <c r="E62" s="35" t="inlineStr">
        <is>
          <t>ネットワーク設計の基本</t>
        </is>
      </c>
      <c r="F62" s="38" t="inlineStr">
        <is>
          <t>★★★</t>
        </is>
      </c>
      <c r="G62" s="39" t="n"/>
    </row>
    <row r="63" ht="29.85" customHeight="1" s="22">
      <c r="A63" s="34" t="n">
        <v>59</v>
      </c>
      <c r="B63" s="35" t="inlineStr">
        <is>
          <t>ネットワーク</t>
        </is>
      </c>
      <c r="C63" s="32" t="inlineStr">
        <is>
          <t>サブネット(パブリック/プライベート)</t>
        </is>
      </c>
      <c r="D63" s="37" t="inlineStr">
        <is>
          <t>VPC内のIP範囲。AZ単位。インターネットゲートウェイへのルートがあればパブリック</t>
        </is>
      </c>
      <c r="E63" s="37" t="inlineStr">
        <is>
          <t>Webはパブリック、DBはプライベートの多層構成</t>
        </is>
      </c>
      <c r="F63" s="38" t="inlineStr">
        <is>
          <t>★★★</t>
        </is>
      </c>
      <c r="G63" s="39" t="n"/>
    </row>
    <row r="64" ht="15" customHeight="1" s="22">
      <c r="A64" s="34" t="n">
        <v>60</v>
      </c>
      <c r="B64" s="35" t="inlineStr">
        <is>
          <t>ネットワーク</t>
        </is>
      </c>
      <c r="C64" s="32" t="inlineStr">
        <is>
          <t>インターネットゲートウェイ(IGW)</t>
        </is>
      </c>
      <c r="D64" s="37" t="inlineStr">
        <is>
          <t>VPCとインターネットの双方向通信を可能にする</t>
        </is>
      </c>
      <c r="E64" s="35" t="inlineStr">
        <is>
          <t>パブリックサブネットに必須</t>
        </is>
      </c>
      <c r="F64" s="38" t="inlineStr">
        <is>
          <t>★★★</t>
        </is>
      </c>
      <c r="G64" s="39" t="n"/>
    </row>
    <row r="65" ht="29.85" customHeight="1" s="22">
      <c r="A65" s="34" t="n">
        <v>61</v>
      </c>
      <c r="B65" s="35" t="inlineStr">
        <is>
          <t>ネットワーク</t>
        </is>
      </c>
      <c r="C65" s="36" t="inlineStr">
        <is>
          <t>NATゲートウェイ</t>
        </is>
      </c>
      <c r="D65" s="35" t="inlineStr">
        <is>
          <t>プライベートサブネットからインターネットへの送信のみを可能にする。AZ単位のマネージドサービス</t>
        </is>
      </c>
      <c r="E65" s="35" t="inlineStr">
        <is>
          <t>可用性のため各AZに配置。IPv6の送信専用はEgress-only IGW</t>
        </is>
      </c>
      <c r="F65" s="38" t="inlineStr">
        <is>
          <t>★★★</t>
        </is>
      </c>
      <c r="G65" s="39" t="n"/>
    </row>
    <row r="66" ht="29.85" customHeight="1" s="22">
      <c r="A66" s="34" t="n">
        <v>62</v>
      </c>
      <c r="B66" s="35" t="inlineStr">
        <is>
          <t>ネットワーク</t>
        </is>
      </c>
      <c r="C66" s="32" t="inlineStr">
        <is>
          <t>セキュリティグループ</t>
        </is>
      </c>
      <c r="D66" s="35" t="inlineStr">
        <is>
          <t>インスタンス(ENI)単位のファイアウォール。ステートフル、許可ルールのみ</t>
        </is>
      </c>
      <c r="E66" s="37" t="inlineStr">
        <is>
          <t>SGをソースに指定して層間通信を制御</t>
        </is>
      </c>
      <c r="F66" s="38" t="inlineStr">
        <is>
          <t>★★★</t>
        </is>
      </c>
      <c r="G66" s="39" t="n"/>
    </row>
    <row r="67" ht="29.85" customHeight="1" s="22">
      <c r="A67" s="34" t="n">
        <v>63</v>
      </c>
      <c r="B67" s="35" t="inlineStr">
        <is>
          <t>ネットワーク</t>
        </is>
      </c>
      <c r="C67" s="32" t="inlineStr">
        <is>
          <t>ネットワークACL</t>
        </is>
      </c>
      <c r="D67" s="35" t="inlineStr">
        <is>
          <t>サブネット単位のファイアウォール。ステートレス、許可/拒否ルール、番号順に評価</t>
        </is>
      </c>
      <c r="E67" s="35" t="inlineStr">
        <is>
          <t>特定IPのブロック→NACLの拒否ルール。戻り通信(エフェメラルポート)の許可が必要</t>
        </is>
      </c>
      <c r="F67" s="38" t="inlineStr">
        <is>
          <t>★★★</t>
        </is>
      </c>
      <c r="G67" s="39" t="n"/>
    </row>
    <row r="68" ht="29.85" customHeight="1" s="22">
      <c r="A68" s="34" t="n">
        <v>64</v>
      </c>
      <c r="B68" s="35" t="inlineStr">
        <is>
          <t>ネットワーク</t>
        </is>
      </c>
      <c r="C68" s="36" t="inlineStr">
        <is>
          <t>VPCピアリング</t>
        </is>
      </c>
      <c r="D68" s="37" t="inlineStr">
        <is>
          <t>2つのVPCをプライベート接続。推移的ルーティング不可、CIDR重複不可</t>
        </is>
      </c>
      <c r="E68" s="35" t="inlineStr">
        <is>
          <t>少数VPC間の接続。多数ならTransit Gateway</t>
        </is>
      </c>
      <c r="F68" s="38" t="inlineStr">
        <is>
          <t>★★</t>
        </is>
      </c>
      <c r="G68" s="39" t="n"/>
    </row>
    <row r="69" ht="15" customHeight="1" s="22">
      <c r="A69" s="34" t="n">
        <v>65</v>
      </c>
      <c r="B69" s="35" t="inlineStr">
        <is>
          <t>ネットワーク</t>
        </is>
      </c>
      <c r="C69" s="36" t="inlineStr">
        <is>
          <t>AWS Transit Gateway</t>
        </is>
      </c>
      <c r="D69" s="35" t="inlineStr">
        <is>
          <t>多数のVPCとオンプレミスをハブ&amp;スポークで接続</t>
        </is>
      </c>
      <c r="E69" s="37" t="inlineStr">
        <is>
          <t>VPC数が多い・推移的接続が必要な場合</t>
        </is>
      </c>
      <c r="F69" s="38" t="inlineStr">
        <is>
          <t>★★★</t>
        </is>
      </c>
      <c r="G69" s="39" t="n"/>
    </row>
    <row r="70" ht="29.85" customHeight="1" s="22">
      <c r="A70" s="34" t="n">
        <v>66</v>
      </c>
      <c r="B70" s="35" t="inlineStr">
        <is>
          <t>ネットワーク</t>
        </is>
      </c>
      <c r="C70" s="36" t="inlineStr">
        <is>
          <t>VPCエンドポイント(ゲートウェイ型)</t>
        </is>
      </c>
      <c r="D70" s="37" t="inlineStr">
        <is>
          <t>S3・DynamoDBへインターネットを経由せずプライベート接続。無料</t>
        </is>
      </c>
      <c r="E70" s="35" t="inlineStr">
        <is>
          <t>プライベートサブネットからS3へのアクセス(NAT費用削減)</t>
        </is>
      </c>
      <c r="F70" s="38" t="inlineStr">
        <is>
          <t>★★★</t>
        </is>
      </c>
      <c r="G70" s="39" t="n"/>
    </row>
    <row r="71" ht="29.85" customHeight="1" s="22">
      <c r="A71" s="34" t="n">
        <v>67</v>
      </c>
      <c r="B71" s="35" t="inlineStr">
        <is>
          <t>ネットワーク</t>
        </is>
      </c>
      <c r="C71" s="36" t="inlineStr">
        <is>
          <t>VPCエンドポイント(インターフェイス型)/ PrivateLink</t>
        </is>
      </c>
      <c r="D71" s="37" t="inlineStr">
        <is>
          <t>ENI経由で多くのAWSサービスやSaaSへプライベート接続</t>
        </is>
      </c>
      <c r="E71" s="35" t="inlineStr">
        <is>
          <t>他VPCのサービスを公開したい・インターネットを経由させたくない</t>
        </is>
      </c>
      <c r="F71" s="38" t="inlineStr">
        <is>
          <t>★★★</t>
        </is>
      </c>
      <c r="G71" s="39" t="n"/>
    </row>
    <row r="72" ht="15" customHeight="1" s="22">
      <c r="A72" s="34" t="n">
        <v>68</v>
      </c>
      <c r="B72" s="35" t="inlineStr">
        <is>
          <t>ネットワーク</t>
        </is>
      </c>
      <c r="C72" s="36" t="inlineStr">
        <is>
          <t>AWS Site-to-Site VPN</t>
        </is>
      </c>
      <c r="D72" s="35" t="inlineStr">
        <is>
          <t>インターネット経由のIPsec暗号化トンネルでオンプレと接続</t>
        </is>
      </c>
      <c r="E72" s="35" t="inlineStr">
        <is>
          <t>素早く安価に接続、Direct Connectのバックアップ</t>
        </is>
      </c>
      <c r="F72" s="38" t="inlineStr">
        <is>
          <t>★★</t>
        </is>
      </c>
      <c r="G72" s="39" t="n"/>
    </row>
    <row r="73" ht="29.85" customHeight="1" s="22">
      <c r="A73" s="34" t="n">
        <v>69</v>
      </c>
      <c r="B73" s="35" t="inlineStr">
        <is>
          <t>ネットワーク</t>
        </is>
      </c>
      <c r="C73" s="36" t="inlineStr">
        <is>
          <t>AWS Direct Connect</t>
        </is>
      </c>
      <c r="D73" s="35" t="inlineStr">
        <is>
          <t>オンプレとAWSを専用線で接続。安定した帯域・低レイテンシ</t>
        </is>
      </c>
      <c r="E73" s="35" t="inlineStr">
        <is>
          <t>大容量・安定通信。開通まで数週間かかる。暗号化が必要ならVPNを併用</t>
        </is>
      </c>
      <c r="F73" s="38" t="inlineStr">
        <is>
          <t>★★★</t>
        </is>
      </c>
      <c r="G73" s="39" t="n"/>
    </row>
    <row r="74" ht="15" customHeight="1" s="22">
      <c r="A74" s="34" t="n">
        <v>70</v>
      </c>
      <c r="B74" s="35" t="inlineStr">
        <is>
          <t>ネットワーク</t>
        </is>
      </c>
      <c r="C74" s="36" t="inlineStr">
        <is>
          <t>VPCフローログ</t>
        </is>
      </c>
      <c r="D74" s="37" t="inlineStr">
        <is>
          <t>VPC・サブネット・ENIのIPトラフィック情報を記録</t>
        </is>
      </c>
      <c r="E74" s="35" t="inlineStr">
        <is>
          <t>通信のトラブルシューティング・セキュリティ分析</t>
        </is>
      </c>
      <c r="F74" s="38" t="inlineStr">
        <is>
          <t>★★</t>
        </is>
      </c>
      <c r="G74" s="39" t="n"/>
    </row>
    <row r="75" ht="15" customHeight="1" s="22">
      <c r="A75" s="34" t="n">
        <v>71</v>
      </c>
      <c r="B75" s="35" t="inlineStr">
        <is>
          <t>ネットワーク</t>
        </is>
      </c>
      <c r="C75" s="36" t="inlineStr">
        <is>
          <t>Elastic IP</t>
        </is>
      </c>
      <c r="D75" s="35" t="inlineStr">
        <is>
          <t>固定のパブリックIPv4アドレス</t>
        </is>
      </c>
      <c r="E75" s="35" t="inlineStr">
        <is>
          <t>固定IPが必要な場合(未使用時も課金)</t>
        </is>
      </c>
      <c r="F75" s="38" t="inlineStr">
        <is>
          <t>★</t>
        </is>
      </c>
      <c r="G75" s="39" t="n"/>
    </row>
    <row r="76" ht="15" customHeight="1" s="22">
      <c r="A76" s="34" t="n">
        <v>72</v>
      </c>
      <c r="B76" s="35" t="inlineStr">
        <is>
          <t>ネットワーク</t>
        </is>
      </c>
      <c r="C76" s="36" t="inlineStr">
        <is>
          <t>Elastic Load Balancing(ELB)</t>
        </is>
      </c>
      <c r="D76" s="35" t="inlineStr">
        <is>
          <t>トラフィックを複数ターゲットへ分散するマネージドLB</t>
        </is>
      </c>
      <c r="E76" s="37" t="inlineStr">
        <is>
          <t>ALB/NLB/GWLBの使い分け</t>
        </is>
      </c>
      <c r="F76" s="38" t="inlineStr">
        <is>
          <t>★★★</t>
        </is>
      </c>
      <c r="G76" s="39" t="n"/>
    </row>
    <row r="77" ht="29.85" customHeight="1" s="22">
      <c r="A77" s="34" t="n">
        <v>73</v>
      </c>
      <c r="B77" s="35" t="inlineStr">
        <is>
          <t>ネットワーク</t>
        </is>
      </c>
      <c r="C77" s="36" t="inlineStr">
        <is>
          <t>Application Load Balancer(ALB)</t>
        </is>
      </c>
      <c r="D77" s="37" t="inlineStr">
        <is>
          <t>L7。パス・ホスト・ヘッダーによるルーティング、HTTP/HTTPS、Lambdaもターゲット可</t>
        </is>
      </c>
      <c r="E77" s="35" t="inlineStr">
        <is>
          <t>マイクロサービス・パスベースルーティング・WAF連携</t>
        </is>
      </c>
      <c r="F77" s="38" t="inlineStr">
        <is>
          <t>★★★</t>
        </is>
      </c>
      <c r="G77" s="39" t="n"/>
    </row>
    <row r="78" ht="29.85" customHeight="1" s="22">
      <c r="A78" s="34" t="n">
        <v>74</v>
      </c>
      <c r="B78" s="35" t="inlineStr">
        <is>
          <t>ネットワーク</t>
        </is>
      </c>
      <c r="C78" s="36" t="inlineStr">
        <is>
          <t>Network Load Balancer(NLB)</t>
        </is>
      </c>
      <c r="D78" s="37" t="inlineStr">
        <is>
          <t>L4(TCP/UDP)。超低レイテンシ・高スループット、固定IP(Elastic IP)を持てる</t>
        </is>
      </c>
      <c r="E78" s="35" t="inlineStr">
        <is>
          <t>固定IPが必要、UDP、極めて高い性能要件</t>
        </is>
      </c>
      <c r="F78" s="38" t="inlineStr">
        <is>
          <t>★★★</t>
        </is>
      </c>
      <c r="G78" s="39" t="n"/>
    </row>
    <row r="79" ht="29.85" customHeight="1" s="22">
      <c r="A79" s="34" t="n">
        <v>75</v>
      </c>
      <c r="B79" s="35" t="inlineStr">
        <is>
          <t>ネットワーク</t>
        </is>
      </c>
      <c r="C79" s="36" t="inlineStr">
        <is>
          <t>Gateway Load Balancer(GWLB)</t>
        </is>
      </c>
      <c r="D79" s="35" t="inlineStr">
        <is>
          <t>サードパーティ製の仮想アプライアンス(ファイアウォール等)へトラフィックを分散</t>
        </is>
      </c>
      <c r="E79" s="35" t="inlineStr">
        <is>
          <t>セキュリティアプライアンスの透過的な挿入</t>
        </is>
      </c>
      <c r="F79" s="38" t="inlineStr">
        <is>
          <t>★</t>
        </is>
      </c>
      <c r="G79" s="39" t="n"/>
    </row>
    <row r="80" ht="15" customHeight="1" s="22">
      <c r="A80" s="34" t="n">
        <v>76</v>
      </c>
      <c r="B80" s="35" t="inlineStr">
        <is>
          <t>ネットワーク</t>
        </is>
      </c>
      <c r="C80" s="36" t="inlineStr">
        <is>
          <t>Amazon Route 53</t>
        </is>
      </c>
      <c r="D80" s="35" t="inlineStr">
        <is>
          <t>マネージドDNS。ヘルスチェックとルーティングポリシーを持つ</t>
        </is>
      </c>
      <c r="E80" s="37" t="inlineStr">
        <is>
          <t>DNSフェイルオーバー・Alias レコード(Zone Apexに可)</t>
        </is>
      </c>
      <c r="F80" s="38" t="inlineStr">
        <is>
          <t>★★★</t>
        </is>
      </c>
      <c r="G80" s="39" t="n"/>
    </row>
    <row r="81" ht="29.85" customHeight="1" s="22">
      <c r="A81" s="34" t="n">
        <v>77</v>
      </c>
      <c r="B81" s="35" t="inlineStr">
        <is>
          <t>ネットワーク</t>
        </is>
      </c>
      <c r="C81" s="36" t="inlineStr">
        <is>
          <t>Route 53ルーティングポリシー</t>
        </is>
      </c>
      <c r="D81" s="35" t="inlineStr">
        <is>
          <t>シンプル/加重/レイテンシー/フェイルオーバー/位置情報/地理的近接性/複数値回答</t>
        </is>
      </c>
      <c r="E81" s="35" t="inlineStr">
        <is>
          <t>アクティブ-パッシブDR→フェイルオーバー、A/Bテスト→加重、国別出し分け→位置情報</t>
        </is>
      </c>
      <c r="F81" s="38" t="inlineStr">
        <is>
          <t>★★★</t>
        </is>
      </c>
      <c r="G81" s="39" t="n"/>
    </row>
    <row r="82" ht="29.85" customHeight="1" s="22">
      <c r="A82" s="34" t="n">
        <v>78</v>
      </c>
      <c r="B82" s="35" t="inlineStr">
        <is>
          <t>ネットワーク</t>
        </is>
      </c>
      <c r="C82" s="36" t="inlineStr">
        <is>
          <t>Amazon CloudFront</t>
        </is>
      </c>
      <c r="D82" s="37" t="inlineStr">
        <is>
          <t>CDN。世界中のエッジロケーションでコンテンツをキャッシュ配信</t>
        </is>
      </c>
      <c r="E82" s="35" t="inlineStr">
        <is>
          <t>静的/動的コンテンツの高速化。S3オリジンにはOAC(旧OAI)で直接アクセスを禁止</t>
        </is>
      </c>
      <c r="F82" s="38" t="inlineStr">
        <is>
          <t>★★★</t>
        </is>
      </c>
      <c r="G82" s="39" t="n"/>
    </row>
    <row r="83" ht="29.85" customHeight="1" s="22">
      <c r="A83" s="34" t="n">
        <v>79</v>
      </c>
      <c r="B83" s="35" t="inlineStr">
        <is>
          <t>ネットワーク</t>
        </is>
      </c>
      <c r="C83" s="36" t="inlineStr">
        <is>
          <t>AWS Global Accelerator</t>
        </is>
      </c>
      <c r="D83" s="37" t="inlineStr">
        <is>
          <t>AWSのグローバルネットワーク経由でトラフィックを最適化。固定エニーキャストIPを2つ提供</t>
        </is>
      </c>
      <c r="E83" s="37" t="inlineStr">
        <is>
          <t>TCP/UDPアプリの高速化・固定IP・高速なリージョンフェイルオーバー。キャッシュはしない</t>
        </is>
      </c>
      <c r="F83" s="38" t="inlineStr">
        <is>
          <t>★★</t>
        </is>
      </c>
      <c r="G83" s="39" t="n"/>
    </row>
    <row r="84" ht="15" customHeight="1" s="22">
      <c r="A84" s="34" t="n">
        <v>80</v>
      </c>
      <c r="B84" s="35" t="inlineStr">
        <is>
          <t>セキュリティ</t>
        </is>
      </c>
      <c r="C84" s="36" t="inlineStr">
        <is>
          <t>AWS IAM</t>
        </is>
      </c>
      <c r="D84" s="35" t="inlineStr">
        <is>
          <t>ユーザー・グループ・ロール・ポリシーでアクセス制御</t>
        </is>
      </c>
      <c r="E84" s="35" t="inlineStr">
        <is>
          <t>最小権限の原則。明示的Denyが常に優先</t>
        </is>
      </c>
      <c r="F84" s="38" t="inlineStr">
        <is>
          <t>★★★</t>
        </is>
      </c>
      <c r="G84" s="39" t="n"/>
    </row>
    <row r="85" ht="29.85" customHeight="1" s="22">
      <c r="A85" s="34" t="n">
        <v>81</v>
      </c>
      <c r="B85" s="35" t="inlineStr">
        <is>
          <t>セキュリティ</t>
        </is>
      </c>
      <c r="C85" s="36" t="inlineStr">
        <is>
          <t>IAMロール</t>
        </is>
      </c>
      <c r="D85" s="35" t="inlineStr">
        <is>
          <t>一時的な認証情報を付与する仕組み。EC2・Lambda・他アカウントが引き受ける</t>
        </is>
      </c>
      <c r="E85" s="37" t="inlineStr">
        <is>
          <t>EC2にアクセスキーを置かずロールを使う、クロスアカウントアクセス</t>
        </is>
      </c>
      <c r="F85" s="38" t="inlineStr">
        <is>
          <t>★★★</t>
        </is>
      </c>
      <c r="G85" s="39" t="n"/>
    </row>
    <row r="86" ht="29.85" customHeight="1" s="22">
      <c r="A86" s="34" t="n">
        <v>82</v>
      </c>
      <c r="B86" s="35" t="inlineStr">
        <is>
          <t>セキュリティ</t>
        </is>
      </c>
      <c r="C86" s="36" t="inlineStr">
        <is>
          <t>IAMポリシー評価</t>
        </is>
      </c>
      <c r="D86" s="35" t="inlineStr">
        <is>
          <t>明示的Deny &gt; 明示的Allow &gt; 暗黙的Deny。アイデンティティベースとリソースベースがある</t>
        </is>
      </c>
      <c r="E86" s="37" t="inlineStr">
        <is>
          <t>S3バケットポリシーなどリソースベースポリシーとの組み合わせ</t>
        </is>
      </c>
      <c r="F86" s="38" t="inlineStr">
        <is>
          <t>★★</t>
        </is>
      </c>
      <c r="G86" s="39" t="n"/>
    </row>
    <row r="87" ht="15" customHeight="1" s="22">
      <c r="A87" s="34" t="n">
        <v>83</v>
      </c>
      <c r="B87" s="35" t="inlineStr">
        <is>
          <t>セキュリティ</t>
        </is>
      </c>
      <c r="C87" s="36" t="inlineStr">
        <is>
          <t>AWS STS</t>
        </is>
      </c>
      <c r="D87" s="35" t="inlineStr">
        <is>
          <t>一時的なセキュリティ認証情報を発行(AssumeRole等)</t>
        </is>
      </c>
      <c r="E87" s="35" t="inlineStr">
        <is>
          <t>クロスアカウント・フェデレーション</t>
        </is>
      </c>
      <c r="F87" s="38" t="inlineStr">
        <is>
          <t>★★</t>
        </is>
      </c>
      <c r="G87" s="39" t="n"/>
    </row>
    <row r="88" ht="15" customHeight="1" s="22">
      <c r="A88" s="34" t="n">
        <v>84</v>
      </c>
      <c r="B88" s="35" t="inlineStr">
        <is>
          <t>セキュリティ</t>
        </is>
      </c>
      <c r="C88" s="36" t="inlineStr">
        <is>
          <t>AWS Organizations</t>
        </is>
      </c>
      <c r="D88" s="35" t="inlineStr">
        <is>
          <t>複数アカウントを一元管理。一括請求、OU単位での管理</t>
        </is>
      </c>
      <c r="E88" s="35" t="inlineStr">
        <is>
          <t>マルチアカウント管理・ボリュームディスカウント</t>
        </is>
      </c>
      <c r="F88" s="38" t="inlineStr">
        <is>
          <t>★★★</t>
        </is>
      </c>
      <c r="G88" s="39" t="n"/>
    </row>
    <row r="89" ht="29.85" customHeight="1" s="22">
      <c r="A89" s="34" t="n">
        <v>85</v>
      </c>
      <c r="B89" s="35" t="inlineStr">
        <is>
          <t>セキュリティ</t>
        </is>
      </c>
      <c r="C89" s="32" t="inlineStr">
        <is>
          <t>サービスコントロールポリシー(SCP)</t>
        </is>
      </c>
      <c r="D89" s="37" t="inlineStr">
        <is>
          <t>Organizations内アカウントの最大権限を制限するガードレール(権限は付与しない)</t>
        </is>
      </c>
      <c r="E89" s="35" t="inlineStr">
        <is>
          <t>「ルートユーザー含め特定リージョン/サービスを禁止」→SCP</t>
        </is>
      </c>
      <c r="F89" s="38" t="inlineStr">
        <is>
          <t>★★★</t>
        </is>
      </c>
      <c r="G89" s="39" t="n"/>
    </row>
    <row r="90" ht="15" customHeight="1" s="22">
      <c r="A90" s="34" t="n">
        <v>86</v>
      </c>
      <c r="B90" s="35" t="inlineStr">
        <is>
          <t>セキュリティ</t>
        </is>
      </c>
      <c r="C90" s="36" t="inlineStr">
        <is>
          <t>AWS IAM Identity Center</t>
        </is>
      </c>
      <c r="D90" s="35" t="inlineStr">
        <is>
          <t>旧AWS SSO。複数のAWSアカウントや外部のSaaSアプリへのシングルサインオンを一元管理</t>
        </is>
      </c>
      <c r="E90" s="35" t="inlineStr">
        <is>
          <t>マルチアカウントへのSSO、既存IdP/AD連携</t>
        </is>
      </c>
      <c r="F90" s="38" t="inlineStr">
        <is>
          <t>★★</t>
        </is>
      </c>
      <c r="G90" s="39" t="n"/>
    </row>
    <row r="91" ht="29.85" customHeight="1" s="22">
      <c r="A91" s="34" t="n">
        <v>87</v>
      </c>
      <c r="B91" s="35" t="inlineStr">
        <is>
          <t>セキュリティ</t>
        </is>
      </c>
      <c r="C91" s="36" t="inlineStr">
        <is>
          <t>Amazon Cognito</t>
        </is>
      </c>
      <c r="D91" s="37" t="inlineStr">
        <is>
          <t>Web/モバイルアプリのユーザー認証。ユーザープール(認証)とIDプール(AWS認証情報の付与)</t>
        </is>
      </c>
      <c r="E91" s="35" t="inlineStr">
        <is>
          <t>アプリのサインアップ/サインイン、ソーシャルログイン</t>
        </is>
      </c>
      <c r="F91" s="38" t="inlineStr">
        <is>
          <t>★★</t>
        </is>
      </c>
      <c r="G91" s="39" t="n"/>
    </row>
    <row r="92" ht="15" customHeight="1" s="22">
      <c r="A92" s="34" t="n">
        <v>88</v>
      </c>
      <c r="B92" s="35" t="inlineStr">
        <is>
          <t>セキュリティ</t>
        </is>
      </c>
      <c r="C92" s="36" t="inlineStr">
        <is>
          <t>AWS Directory Service</t>
        </is>
      </c>
      <c r="D92" s="35" t="inlineStr">
        <is>
          <t>マネージドMicrosoft AD、AD Connector(オンプレADへのプロキシ)</t>
        </is>
      </c>
      <c r="E92" s="35" t="inlineStr">
        <is>
          <t>オンプレADとの連携</t>
        </is>
      </c>
      <c r="F92" s="38" t="inlineStr">
        <is>
          <t>★</t>
        </is>
      </c>
      <c r="G92" s="39" t="n"/>
    </row>
    <row r="93" ht="15" customHeight="1" s="22">
      <c r="A93" s="34" t="n">
        <v>89</v>
      </c>
      <c r="B93" s="35" t="inlineStr">
        <is>
          <t>セキュリティ</t>
        </is>
      </c>
      <c r="C93" s="36" t="inlineStr">
        <is>
          <t>AWS KMS</t>
        </is>
      </c>
      <c r="D93" s="35" t="inlineStr">
        <is>
          <t>暗号化キーの作成・管理。AWS管理キーとカスタマー管理キー</t>
        </is>
      </c>
      <c r="E93" s="35" t="inlineStr">
        <is>
          <t>保存データの暗号化。キーローテーション・キーポリシー</t>
        </is>
      </c>
      <c r="F93" s="38" t="inlineStr">
        <is>
          <t>★★★</t>
        </is>
      </c>
      <c r="G93" s="39" t="n"/>
    </row>
    <row r="94" ht="29.85" customHeight="1" s="22">
      <c r="A94" s="34" t="n">
        <v>90</v>
      </c>
      <c r="B94" s="35" t="inlineStr">
        <is>
          <t>セキュリティ</t>
        </is>
      </c>
      <c r="C94" s="36" t="inlineStr">
        <is>
          <t>AWS CloudHSM</t>
        </is>
      </c>
      <c r="D94" s="35" t="inlineStr">
        <is>
          <t>専有ハードウェアセキュリティモジュール(FIPS 140-3 レベル3)</t>
        </is>
      </c>
      <c r="E94" s="35" t="inlineStr">
        <is>
          <t>キーを顧客が完全管理する必要がある厳格なコンプライアンス</t>
        </is>
      </c>
      <c r="F94" s="38" t="inlineStr">
        <is>
          <t>★★</t>
        </is>
      </c>
      <c r="G94" s="39" t="n"/>
    </row>
    <row r="95" ht="15" customHeight="1" s="22">
      <c r="A95" s="34" t="n">
        <v>91</v>
      </c>
      <c r="B95" s="35" t="inlineStr">
        <is>
          <t>セキュリティ</t>
        </is>
      </c>
      <c r="C95" s="36" t="inlineStr">
        <is>
          <t>AWS Secrets Manager</t>
        </is>
      </c>
      <c r="D95" s="37" t="inlineStr">
        <is>
          <t>DB認証情報などのシークレットを保存し自動ローテーション</t>
        </is>
      </c>
      <c r="E95" s="35" t="inlineStr">
        <is>
          <t>パスワードの自動ローテーション→Secrets Manager</t>
        </is>
      </c>
      <c r="F95" s="38" t="inlineStr">
        <is>
          <t>★★★</t>
        </is>
      </c>
      <c r="G95" s="39" t="n"/>
    </row>
    <row r="96" ht="26.85" customHeight="1" s="22">
      <c r="A96" s="34" t="n">
        <v>92</v>
      </c>
      <c r="B96" s="35" t="inlineStr">
        <is>
          <t>セキュリティ</t>
        </is>
      </c>
      <c r="C96" s="36" t="inlineStr">
        <is>
          <t>Systems Manager Parameter Store</t>
        </is>
      </c>
      <c r="D96" s="35" t="inlineStr">
        <is>
          <t>設定値やシークレットを階層的に保存(標準は無料)</t>
        </is>
      </c>
      <c r="E96" s="35" t="inlineStr">
        <is>
          <t>設定値管理。自動ローテーションが必要ならSecrets Manager</t>
        </is>
      </c>
      <c r="F96" s="38" t="inlineStr">
        <is>
          <t>★★</t>
        </is>
      </c>
      <c r="G96" s="39" t="n"/>
    </row>
    <row r="97" ht="15" customHeight="1" s="22">
      <c r="A97" s="34" t="n">
        <v>93</v>
      </c>
      <c r="B97" s="35" t="inlineStr">
        <is>
          <t>セキュリティ</t>
        </is>
      </c>
      <c r="C97" s="36" t="inlineStr">
        <is>
          <t>AWS Certificate Manager(ACM)</t>
        </is>
      </c>
      <c r="D97" s="37" t="inlineStr">
        <is>
          <t>SSL/TLS証明書の発行・管理・自動更新</t>
        </is>
      </c>
      <c r="E97" s="37" t="inlineStr">
        <is>
          <t>ALB・CloudFrontでのHTTPS化</t>
        </is>
      </c>
      <c r="F97" s="38" t="inlineStr">
        <is>
          <t>★★</t>
        </is>
      </c>
      <c r="G97" s="39" t="n"/>
    </row>
    <row r="98" ht="29.85" customHeight="1" s="22">
      <c r="A98" s="34" t="n">
        <v>94</v>
      </c>
      <c r="B98" s="35" t="inlineStr">
        <is>
          <t>セキュリティ</t>
        </is>
      </c>
      <c r="C98" s="36" t="inlineStr">
        <is>
          <t>AWS WAF</t>
        </is>
      </c>
      <c r="D98" s="37" t="inlineStr">
        <is>
          <t>Webアプリケーションファイアウォール。SQLインジェクション・XSS・レート制限</t>
        </is>
      </c>
      <c r="E98" s="37" t="inlineStr">
        <is>
          <t>ALB・CloudFront・API Gatewayに適用。L7攻撃対策</t>
        </is>
      </c>
      <c r="F98" s="38" t="inlineStr">
        <is>
          <t>★★★</t>
        </is>
      </c>
      <c r="G98" s="39" t="n"/>
    </row>
    <row r="99" ht="29.85" customHeight="1" s="22">
      <c r="A99" s="34" t="n">
        <v>95</v>
      </c>
      <c r="B99" s="35" t="inlineStr">
        <is>
          <t>セキュリティ</t>
        </is>
      </c>
      <c r="C99" s="36" t="inlineStr">
        <is>
          <t>AWS Shield</t>
        </is>
      </c>
      <c r="D99" s="37" t="inlineStr">
        <is>
          <t>DDoS防御。Standard(自動・無料)とAdvanced(有料・DRTサポート・コスト保護)</t>
        </is>
      </c>
      <c r="E99" s="35" t="inlineStr">
        <is>
          <t>大規模DDoS対策→Shield Advanced</t>
        </is>
      </c>
      <c r="F99" s="38" t="inlineStr">
        <is>
          <t>★★</t>
        </is>
      </c>
      <c r="G99" s="39" t="n"/>
    </row>
    <row r="100" ht="15" customHeight="1" s="22">
      <c r="A100" s="34" t="n">
        <v>96</v>
      </c>
      <c r="B100" s="35" t="inlineStr">
        <is>
          <t>セキュリティ</t>
        </is>
      </c>
      <c r="C100" s="36" t="inlineStr">
        <is>
          <t>AWS Firewall Manager</t>
        </is>
      </c>
      <c r="D100" s="35" t="inlineStr">
        <is>
          <t>複数アカウントのWAF・Shield・セキュリティグループ・Network Firewallのルールを一元管理し一括適用</t>
        </is>
      </c>
      <c r="E100" s="37" t="inlineStr">
        <is>
          <t>Organizations全体でのセキュリティルール統一</t>
        </is>
      </c>
      <c r="F100" s="38" t="inlineStr">
        <is>
          <t>★</t>
        </is>
      </c>
      <c r="G100" s="39" t="n"/>
    </row>
    <row r="101" ht="15" customHeight="1" s="22">
      <c r="A101" s="34" t="n">
        <v>97</v>
      </c>
      <c r="B101" s="35" t="inlineStr">
        <is>
          <t>セキュリティ</t>
        </is>
      </c>
      <c r="C101" s="36" t="inlineStr">
        <is>
          <t>AWS Network Firewall</t>
        </is>
      </c>
      <c r="D101" s="37" t="inlineStr">
        <is>
          <t>VPC向けのマネージドネットワークファイアウォール。ステートフルなパケット検査やドメイン名によるフィルタリングが可能</t>
        </is>
      </c>
      <c r="E101" s="37" t="inlineStr">
        <is>
          <t>VPCレベルでのトラフィックフィルタリング・IDS/IPS</t>
        </is>
      </c>
      <c r="F101" s="38" t="inlineStr">
        <is>
          <t>★</t>
        </is>
      </c>
      <c r="G101" s="39" t="n"/>
    </row>
    <row r="102" ht="15" customHeight="1" s="22">
      <c r="A102" s="34" t="n">
        <v>98</v>
      </c>
      <c r="B102" s="35" t="inlineStr">
        <is>
          <t>セキュリティ</t>
        </is>
      </c>
      <c r="C102" s="36" t="inlineStr">
        <is>
          <t>Amazon GuardDuty</t>
        </is>
      </c>
      <c r="D102" s="35" t="inlineStr">
        <is>
          <t>ログ(CloudTrail、VPCフローログ、DNS)を機械学習で分析する脅威検出</t>
        </is>
      </c>
      <c r="E102" s="35" t="inlineStr">
        <is>
          <t>不審なアクティビティの検出</t>
        </is>
      </c>
      <c r="F102" s="38" t="inlineStr">
        <is>
          <t>★★</t>
        </is>
      </c>
      <c r="G102" s="39" t="n"/>
    </row>
    <row r="103" ht="15" customHeight="1" s="22">
      <c r="A103" s="34" t="n">
        <v>99</v>
      </c>
      <c r="B103" s="35" t="inlineStr">
        <is>
          <t>セキュリティ</t>
        </is>
      </c>
      <c r="C103" s="36" t="inlineStr">
        <is>
          <t>Amazon Inspector</t>
        </is>
      </c>
      <c r="D103" s="37" t="inlineStr">
        <is>
          <t>EC2・コンテナイメージ・Lambdaの脆弱性を自動スキャン</t>
        </is>
      </c>
      <c r="E103" s="35" t="inlineStr">
        <is>
          <t>ソフトウェア脆弱性・意図しないネットワーク露出の検出</t>
        </is>
      </c>
      <c r="F103" s="38" t="inlineStr">
        <is>
          <t>★★</t>
        </is>
      </c>
      <c r="G103" s="39" t="n"/>
    </row>
    <row r="104" ht="15" customHeight="1" s="22">
      <c r="A104" s="34" t="n">
        <v>100</v>
      </c>
      <c r="B104" s="35" t="inlineStr">
        <is>
          <t>セキュリティ</t>
        </is>
      </c>
      <c r="C104" s="36" t="inlineStr">
        <is>
          <t>Amazon Macie</t>
        </is>
      </c>
      <c r="D104" s="35" t="inlineStr">
        <is>
          <t>機械学習でS3内の機密データ(個人情報など)を検出</t>
        </is>
      </c>
      <c r="E104" s="37" t="inlineStr">
        <is>
          <t>S3のPII検出</t>
        </is>
      </c>
      <c r="F104" s="38" t="inlineStr">
        <is>
          <t>★★</t>
        </is>
      </c>
      <c r="G104" s="39" t="n"/>
    </row>
    <row r="105" ht="15" customHeight="1" s="22">
      <c r="A105" s="34" t="n">
        <v>101</v>
      </c>
      <c r="B105" s="35" t="inlineStr">
        <is>
          <t>セキュリティ</t>
        </is>
      </c>
      <c r="C105" s="36" t="inlineStr">
        <is>
          <t>AWS Security Hub</t>
        </is>
      </c>
      <c r="D105" s="35" t="inlineStr">
        <is>
          <t>複数アカウントのセキュリティアラートを一元集約し、CIS・PCI DSSなど業界標準への準拠状況を自動チェック</t>
        </is>
      </c>
      <c r="E105" s="35" t="inlineStr">
        <is>
          <t>複数のセキュリティサービスの結果を統合表示</t>
        </is>
      </c>
      <c r="F105" s="38" t="inlineStr">
        <is>
          <t>★</t>
        </is>
      </c>
      <c r="G105" s="39" t="n"/>
    </row>
    <row r="106" ht="15" customHeight="1" s="22">
      <c r="A106" s="34" t="n">
        <v>102</v>
      </c>
      <c r="B106" s="35" t="inlineStr">
        <is>
          <t>セキュリティ</t>
        </is>
      </c>
      <c r="C106" s="36" t="inlineStr">
        <is>
          <t>Amazon Detective</t>
        </is>
      </c>
      <c r="D106" s="35" t="inlineStr">
        <is>
          <t>セキュリティ調査のための根本原因分析</t>
        </is>
      </c>
      <c r="E106" s="37" t="inlineStr">
        <is>
          <t>GuardDutyの検出結果の深掘り</t>
        </is>
      </c>
      <c r="F106" s="38" t="inlineStr">
        <is>
          <t>★</t>
        </is>
      </c>
      <c r="G106" s="39" t="n"/>
    </row>
    <row r="107" ht="29.85" customHeight="1" s="22">
      <c r="A107" s="34" t="n">
        <v>103</v>
      </c>
      <c r="B107" s="35" t="inlineStr">
        <is>
          <t>アプリケーション統合</t>
        </is>
      </c>
      <c r="C107" s="36" t="inlineStr">
        <is>
          <t>Amazon SQS</t>
        </is>
      </c>
      <c r="D107" s="35" t="inlineStr">
        <is>
          <t>フルマネージドのメッセージキュー。コンシューマーがポーリングして取り出す(Pull型)。標準キュー(少なくとも1回・順序保証なし)とFIFOキュー(順序保証・1回のみ)</t>
        </is>
      </c>
      <c r="E107" s="35" t="inlineStr">
        <is>
          <t>コンポーネントの疎結合化・負荷平準化。順序保証→FIFO</t>
        </is>
      </c>
      <c r="F107" s="38" t="inlineStr">
        <is>
          <t>★★★</t>
        </is>
      </c>
      <c r="G107" s="39" t="n"/>
    </row>
    <row r="108" ht="29.85" customHeight="1" s="22">
      <c r="A108" s="34" t="n">
        <v>104</v>
      </c>
      <c r="B108" s="35" t="inlineStr">
        <is>
          <t>アプリケーション統合</t>
        </is>
      </c>
      <c r="C108" s="36" t="inlineStr">
        <is>
          <t>SQS可視性タイムアウト</t>
        </is>
      </c>
      <c r="D108" s="35" t="inlineStr">
        <is>
          <t>受信したメッセージを一定時間他のコンシューマーから見えなくする</t>
        </is>
      </c>
      <c r="E108" s="35" t="inlineStr">
        <is>
          <t>処理時間より長く設定しないと重複処理が起きる</t>
        </is>
      </c>
      <c r="F108" s="38" t="inlineStr">
        <is>
          <t>★★</t>
        </is>
      </c>
      <c r="G108" s="39" t="n"/>
    </row>
    <row r="109" ht="29.85" customHeight="1" s="22">
      <c r="A109" s="34" t="n">
        <v>105</v>
      </c>
      <c r="B109" s="35" t="inlineStr">
        <is>
          <t>アプリケーション統合</t>
        </is>
      </c>
      <c r="C109" s="32" t="inlineStr">
        <is>
          <t>デッドレターキュー(DLQ)</t>
        </is>
      </c>
      <c r="D109" s="35" t="inlineStr">
        <is>
          <t>処理に繰り返し失敗したメッセージを隔離するキュー</t>
        </is>
      </c>
      <c r="E109" s="35" t="inlineStr">
        <is>
          <t>失敗メッセージの分析・再処理</t>
        </is>
      </c>
      <c r="F109" s="38" t="inlineStr">
        <is>
          <t>★★</t>
        </is>
      </c>
      <c r="G109" s="39" t="n"/>
    </row>
    <row r="110" ht="29.85" customHeight="1" s="22">
      <c r="A110" s="34" t="n">
        <v>106</v>
      </c>
      <c r="B110" s="35" t="inlineStr">
        <is>
          <t>アプリケーション統合</t>
        </is>
      </c>
      <c r="C110" s="36" t="inlineStr">
        <is>
          <t>Amazon SNS</t>
        </is>
      </c>
      <c r="D110" s="37" t="inlineStr">
        <is>
          <t>Pub/Sub型の通知サービス。1つのメッセージを購読先(メール・SMS・SQS・Lambda・HTTP)へ一斉にプッシュ配信(Push型)</t>
        </is>
      </c>
      <c r="E110" s="35" t="inlineStr">
        <is>
          <t>ファンアウト(SNS→複数SQS)</t>
        </is>
      </c>
      <c r="F110" s="38" t="inlineStr">
        <is>
          <t>★★★</t>
        </is>
      </c>
      <c r="G110" s="39" t="n"/>
    </row>
    <row r="111" ht="29.85" customHeight="1" s="22">
      <c r="A111" s="34" t="n">
        <v>107</v>
      </c>
      <c r="B111" s="35" t="inlineStr">
        <is>
          <t>アプリケーション統合</t>
        </is>
      </c>
      <c r="C111" s="36" t="inlineStr">
        <is>
          <t>Amazon EventBridge</t>
        </is>
      </c>
      <c r="D111" s="35" t="inlineStr">
        <is>
          <t>イベントバス。AWSサービス・SaaS・独自アプリのイベントをルールで振り分け、スケジュール実行も可能</t>
        </is>
      </c>
      <c r="E111" s="35" t="inlineStr">
        <is>
          <t>イベント駆動アーキテクチャ・定期実行(cron)</t>
        </is>
      </c>
      <c r="F111" s="38" t="inlineStr">
        <is>
          <t>★★</t>
        </is>
      </c>
      <c r="G111" s="39" t="n"/>
    </row>
    <row r="112" ht="29.85" customHeight="1" s="22">
      <c r="A112" s="34" t="n">
        <v>108</v>
      </c>
      <c r="B112" s="35" t="inlineStr">
        <is>
          <t>アプリケーション統合</t>
        </is>
      </c>
      <c r="C112" s="36" t="inlineStr">
        <is>
          <t>AWS Step Functions</t>
        </is>
      </c>
      <c r="D112" s="35" t="inlineStr">
        <is>
          <t>複数のLambdaやサービスをステートマシンでワークフロー化</t>
        </is>
      </c>
      <c r="E112" s="35" t="inlineStr">
        <is>
          <t>複雑なワークフロー・リトライ・人の承認を含む処理</t>
        </is>
      </c>
      <c r="F112" s="38" t="inlineStr">
        <is>
          <t>★★</t>
        </is>
      </c>
      <c r="G112" s="39" t="n"/>
    </row>
    <row r="113" ht="29.85" customHeight="1" s="22">
      <c r="A113" s="34" t="n">
        <v>109</v>
      </c>
      <c r="B113" s="35" t="inlineStr">
        <is>
          <t>アプリケーション統合</t>
        </is>
      </c>
      <c r="C113" s="36" t="inlineStr">
        <is>
          <t>Amazon API Gateway</t>
        </is>
      </c>
      <c r="D113" s="37" t="inlineStr">
        <is>
          <t>REST/HTTP/WebSocket APIの作成・公開・管理。スロットリング・キャッシュ・認証</t>
        </is>
      </c>
      <c r="E113" s="37" t="inlineStr">
        <is>
          <t>Lambdaと組み合わせたサーバーレスAPI</t>
        </is>
      </c>
      <c r="F113" s="38" t="inlineStr">
        <is>
          <t>★★★</t>
        </is>
      </c>
      <c r="G113" s="39" t="n"/>
    </row>
    <row r="114" ht="29.85" customHeight="1" s="22">
      <c r="A114" s="34" t="n">
        <v>110</v>
      </c>
      <c r="B114" s="35" t="inlineStr">
        <is>
          <t>アプリケーション統合</t>
        </is>
      </c>
      <c r="C114" s="36" t="inlineStr">
        <is>
          <t>Amazon MQ</t>
        </is>
      </c>
      <c r="D114" s="37" t="inlineStr">
        <is>
          <t>Apache ActiveMQ / RabbitMQのマネージドサービス</t>
        </is>
      </c>
      <c r="E114" s="35" t="inlineStr">
        <is>
          <t>既存のMQTT・AMQP等の標準プロトコルを使うアプリを、コード変更を最小限にして移行</t>
        </is>
      </c>
      <c r="F114" s="38" t="inlineStr">
        <is>
          <t>★</t>
        </is>
      </c>
      <c r="G114" s="39" t="n"/>
    </row>
    <row r="115" ht="29.85" customHeight="1" s="22">
      <c r="A115" s="34" t="n">
        <v>111</v>
      </c>
      <c r="B115" s="35" t="inlineStr">
        <is>
          <t>アプリケーション統合</t>
        </is>
      </c>
      <c r="C115" s="36" t="inlineStr">
        <is>
          <t>AWS AppSync</t>
        </is>
      </c>
      <c r="D115" s="35" t="inlineStr">
        <is>
          <t>マネージドGraphQL API。リアルタイム更新(サブスクリプション)やオフライン同期に対応</t>
        </is>
      </c>
      <c r="E115" s="37" t="inlineStr">
        <is>
          <t>GraphQL・リアルタイムデータ同期</t>
        </is>
      </c>
      <c r="F115" s="38" t="inlineStr">
        <is>
          <t>★</t>
        </is>
      </c>
      <c r="G115" s="39" t="n"/>
    </row>
    <row r="116" ht="15" customHeight="1" s="22">
      <c r="A116" s="34" t="n">
        <v>112</v>
      </c>
      <c r="B116" s="35" t="inlineStr">
        <is>
          <t>分析</t>
        </is>
      </c>
      <c r="C116" s="36" t="inlineStr">
        <is>
          <t>Amazon Kinesis Data Streams</t>
        </is>
      </c>
      <c r="D116" s="35" t="inlineStr">
        <is>
          <t>リアルタイムのストリーミングデータ(ログ・クリックストリーム・IoTなど)を収集・保持し、複数のコンシューマーで処理できる。シャード単位で容量を設計し、データはデフォルト24時間・最大365日保持</t>
        </is>
      </c>
      <c r="E116" s="35" t="inlineStr">
        <is>
          <t>リアルタイム処理・複数コンシューマー・データの再処理</t>
        </is>
      </c>
      <c r="F116" s="38" t="inlineStr">
        <is>
          <t>★★</t>
        </is>
      </c>
      <c r="G116" s="39" t="n"/>
    </row>
    <row r="117" ht="29.85" customHeight="1" s="22">
      <c r="A117" s="34" t="n">
        <v>113</v>
      </c>
      <c r="B117" s="35" t="inlineStr">
        <is>
          <t>分析</t>
        </is>
      </c>
      <c r="C117" s="36" t="inlineStr">
        <is>
          <t>Amazon Data Firehose</t>
        </is>
      </c>
      <c r="D117" s="35" t="inlineStr">
        <is>
          <t>旧Kinesis Data Firehose。ストリーミングデータをS3・Redshift・OpenSearch等へ自動配信(ほぼリアルタイム)。シャード管理が不要で、Lambdaによる変換も可能</t>
        </is>
      </c>
      <c r="E117" s="35" t="inlineStr">
        <is>
          <t>「コード不要でストリームをS3に保存」→Firehose</t>
        </is>
      </c>
      <c r="F117" s="38" t="inlineStr">
        <is>
          <t>★★</t>
        </is>
      </c>
      <c r="G117" s="39" t="n"/>
    </row>
    <row r="118" ht="29.85" customHeight="1" s="22">
      <c r="A118" s="34" t="n">
        <v>114</v>
      </c>
      <c r="B118" s="35" t="inlineStr">
        <is>
          <t>分析</t>
        </is>
      </c>
      <c r="C118" s="36" t="inlineStr">
        <is>
          <t>Amazon Athena</t>
        </is>
      </c>
      <c r="D118" s="37" t="inlineStr">
        <is>
          <t>S3上のデータを標準SQLで直接クエリするサーバーレス分析(スキャン量課金)</t>
        </is>
      </c>
      <c r="E118" s="37" t="inlineStr">
        <is>
          <t>S3のログをアドホックに分析。Parquet・パーティションでコスト削減</t>
        </is>
      </c>
      <c r="F118" s="38" t="inlineStr">
        <is>
          <t>★★★</t>
        </is>
      </c>
      <c r="G118" s="39" t="n"/>
    </row>
    <row r="119" ht="15" customHeight="1" s="22">
      <c r="A119" s="34" t="n">
        <v>115</v>
      </c>
      <c r="B119" s="35" t="inlineStr">
        <is>
          <t>分析</t>
        </is>
      </c>
      <c r="C119" s="36" t="inlineStr">
        <is>
          <t>AWS Glue</t>
        </is>
      </c>
      <c r="D119" s="35" t="inlineStr">
        <is>
          <t>サーバーレスETLとデータカタログ。クローラーがデータのスキーマを自動検出してカタログに登録する</t>
        </is>
      </c>
      <c r="E119" s="35" t="inlineStr">
        <is>
          <t>データの変換・カタログ化。CSV→Parquet変換</t>
        </is>
      </c>
      <c r="F119" s="38" t="inlineStr">
        <is>
          <t>★★</t>
        </is>
      </c>
      <c r="G119" s="39" t="n"/>
    </row>
    <row r="120" ht="15" customHeight="1" s="22">
      <c r="A120" s="34" t="n">
        <v>116</v>
      </c>
      <c r="B120" s="35" t="inlineStr">
        <is>
          <t>分析</t>
        </is>
      </c>
      <c r="C120" s="36" t="inlineStr">
        <is>
          <t>AWS Lake Formation</t>
        </is>
      </c>
      <c r="D120" s="37" t="inlineStr">
        <is>
          <t>S3上のデータレイクの構築とアクセス権限の一元管理。データベース・テーブル・列・行単位のきめ細かいアクセス制御ができる</t>
        </is>
      </c>
      <c r="E120" s="35" t="inlineStr">
        <is>
          <t>データレイクの細かな権限管理</t>
        </is>
      </c>
      <c r="F120" s="38" t="inlineStr">
        <is>
          <t>★</t>
        </is>
      </c>
      <c r="G120" s="39" t="n"/>
    </row>
    <row r="121" ht="15" customHeight="1" s="22">
      <c r="A121" s="34" t="n">
        <v>117</v>
      </c>
      <c r="B121" s="35" t="inlineStr">
        <is>
          <t>分析</t>
        </is>
      </c>
      <c r="C121" s="36" t="inlineStr">
        <is>
          <t>Amazon EMR</t>
        </is>
      </c>
      <c r="D121" s="37" t="inlineStr">
        <is>
          <t>Hadoop・Spark・Hiveなどのビッグデータ処理フレームワークをマネージドのクラスターで実行</t>
        </is>
      </c>
      <c r="E121" s="35" t="inlineStr">
        <is>
          <t>大規模なビッグデータ処理</t>
        </is>
      </c>
      <c r="F121" s="38" t="inlineStr">
        <is>
          <t>★★</t>
        </is>
      </c>
      <c r="G121" s="39" t="n"/>
    </row>
    <row r="122" ht="15" customHeight="1" s="22">
      <c r="A122" s="34" t="n">
        <v>118</v>
      </c>
      <c r="B122" s="35" t="inlineStr">
        <is>
          <t>分析</t>
        </is>
      </c>
      <c r="C122" s="36" t="inlineStr">
        <is>
          <t>Amazon OpenSearch Service</t>
        </is>
      </c>
      <c r="D122" s="37" t="inlineStr">
        <is>
          <t>OpenSearch/Elasticsearchのマネージドサービス。全文検索・ログ分析</t>
        </is>
      </c>
      <c r="E122" s="35" t="inlineStr">
        <is>
          <t>全文検索・ログ可視化</t>
        </is>
      </c>
      <c r="F122" s="38" t="inlineStr">
        <is>
          <t>★★</t>
        </is>
      </c>
      <c r="G122" s="39" t="n"/>
    </row>
    <row r="123" ht="15" customHeight="1" s="22">
      <c r="A123" s="34" t="n">
        <v>119</v>
      </c>
      <c r="B123" s="35" t="inlineStr">
        <is>
          <t>分析</t>
        </is>
      </c>
      <c r="C123" s="36" t="inlineStr">
        <is>
          <t>Amazon QuickSight</t>
        </is>
      </c>
      <c r="D123" s="35" t="inlineStr">
        <is>
          <t>サーバーレスのBIサービス。各種データソースのデータをダッシュボード・グラフで可視化・共有</t>
        </is>
      </c>
      <c r="E123" s="35" t="inlineStr">
        <is>
          <t>データの可視化</t>
        </is>
      </c>
      <c r="F123" s="38" t="inlineStr">
        <is>
          <t>★</t>
        </is>
      </c>
      <c r="G123" s="39" t="n"/>
    </row>
    <row r="124" ht="15" customHeight="1" s="22">
      <c r="A124" s="34" t="n">
        <v>120</v>
      </c>
      <c r="B124" s="35" t="inlineStr">
        <is>
          <t>分析</t>
        </is>
      </c>
      <c r="C124" s="36" t="inlineStr">
        <is>
          <t>Amazon MSK</t>
        </is>
      </c>
      <c r="D124" s="35" t="inlineStr">
        <is>
          <t>Managed Streaming for Apache Kafka。Apache Kafkaをフルマネージドで提供</t>
        </is>
      </c>
      <c r="E124" s="35" t="inlineStr">
        <is>
          <t>既存Kafkaアプリをほぼそのまま移行</t>
        </is>
      </c>
      <c r="F124" s="38" t="inlineStr">
        <is>
          <t>★</t>
        </is>
      </c>
      <c r="G124" s="39" t="n"/>
    </row>
    <row r="125" ht="15" customHeight="1" s="22">
      <c r="A125" s="34" t="n">
        <v>121</v>
      </c>
      <c r="B125" s="35" t="inlineStr">
        <is>
          <t>管理・監視</t>
        </is>
      </c>
      <c r="C125" s="36" t="inlineStr">
        <is>
          <t>Amazon CloudWatch</t>
        </is>
      </c>
      <c r="D125" s="35" t="inlineStr">
        <is>
          <t>メトリクス・ログ・アラームによる監視</t>
        </is>
      </c>
      <c r="E125" s="37" t="inlineStr">
        <is>
          <t>CPU使用率などのアラームでAuto Scaling・通知</t>
        </is>
      </c>
      <c r="F125" s="38" t="inlineStr">
        <is>
          <t>★★★</t>
        </is>
      </c>
      <c r="G125" s="39" t="n"/>
    </row>
    <row r="126" ht="29.85" customHeight="1" s="22">
      <c r="A126" s="34" t="n">
        <v>122</v>
      </c>
      <c r="B126" s="35" t="inlineStr">
        <is>
          <t>管理・監視</t>
        </is>
      </c>
      <c r="C126" s="36" t="inlineStr">
        <is>
          <t>CloudWatchエージェント</t>
        </is>
      </c>
      <c r="D126" s="37" t="inlineStr">
        <is>
          <t>EC2のメモリ使用率・ディスク使用率などOS内部のメトリクスとログを収集</t>
        </is>
      </c>
      <c r="E126" s="35" t="inlineStr">
        <is>
          <t>メモリ使用率は標準メトリクスに含まれない→エージェント</t>
        </is>
      </c>
      <c r="F126" s="38" t="inlineStr">
        <is>
          <t>★★</t>
        </is>
      </c>
      <c r="G126" s="39" t="n"/>
    </row>
    <row r="127" ht="15" customHeight="1" s="22">
      <c r="A127" s="34" t="n">
        <v>123</v>
      </c>
      <c r="B127" s="35" t="inlineStr">
        <is>
          <t>管理・監視</t>
        </is>
      </c>
      <c r="C127" s="36" t="inlineStr">
        <is>
          <t>AWS CloudTrail</t>
        </is>
      </c>
      <c r="D127" s="37" t="inlineStr">
        <is>
          <t>AWSアカウントのAPI呼び出し履歴を記録</t>
        </is>
      </c>
      <c r="E127" s="35" t="inlineStr">
        <is>
          <t>「誰がいつ何をしたか」の監査</t>
        </is>
      </c>
      <c r="F127" s="38" t="inlineStr">
        <is>
          <t>★★★</t>
        </is>
      </c>
      <c r="G127" s="39" t="n"/>
    </row>
    <row r="128" ht="15" customHeight="1" s="22">
      <c r="A128" s="34" t="n">
        <v>124</v>
      </c>
      <c r="B128" s="35" t="inlineStr">
        <is>
          <t>管理・監視</t>
        </is>
      </c>
      <c r="C128" s="36" t="inlineStr">
        <is>
          <t>AWS Config</t>
        </is>
      </c>
      <c r="D128" s="35" t="inlineStr">
        <is>
          <t>リソースの設定変更履歴を記録し、ルールで準拠状況を評価</t>
        </is>
      </c>
      <c r="E128" s="35" t="inlineStr">
        <is>
          <t>設定のコンプライアンスチェック・自動修復</t>
        </is>
      </c>
      <c r="F128" s="38" t="inlineStr">
        <is>
          <t>★★</t>
        </is>
      </c>
      <c r="G128" s="39" t="n"/>
    </row>
    <row r="129" ht="29.85" customHeight="1" s="22">
      <c r="A129" s="34" t="n">
        <v>125</v>
      </c>
      <c r="B129" s="35" t="inlineStr">
        <is>
          <t>管理・監視</t>
        </is>
      </c>
      <c r="C129" s="36" t="inlineStr">
        <is>
          <t>AWS Systems Manager</t>
        </is>
      </c>
      <c r="D129" s="37" t="inlineStr">
        <is>
          <t>EC2等の運用管理(Session Manager、Patch Manager、Run Command等)</t>
        </is>
      </c>
      <c r="E129" s="37" t="inlineStr">
        <is>
          <t>SSHポートを開けずにSession Managerで接続、パッチ一括適用</t>
        </is>
      </c>
      <c r="F129" s="38" t="inlineStr">
        <is>
          <t>★★</t>
        </is>
      </c>
      <c r="G129" s="39" t="n"/>
    </row>
    <row r="130" ht="29.85" customHeight="1" s="22">
      <c r="A130" s="34" t="n">
        <v>126</v>
      </c>
      <c r="B130" s="35" t="inlineStr">
        <is>
          <t>管理・監視</t>
        </is>
      </c>
      <c r="C130" s="36" t="inlineStr">
        <is>
          <t>AWS CloudFormation</t>
        </is>
      </c>
      <c r="D130" s="35" t="inlineStr">
        <is>
          <t>インフラをコード(YAML/JSON)のテンプレートで定義し、スタック単位で作成・更新・削除を自動化(IaC)。変更セットで更新前に差分を確認できる</t>
        </is>
      </c>
      <c r="E130" s="35" t="inlineStr">
        <is>
          <t>同一環境の繰り返し構築。StackSetsで複数アカウント/リージョン展開</t>
        </is>
      </c>
      <c r="F130" s="38" t="inlineStr">
        <is>
          <t>★★</t>
        </is>
      </c>
      <c r="G130" s="39" t="n"/>
    </row>
    <row r="131" ht="29.85" customHeight="1" s="22">
      <c r="A131" s="34" t="n">
        <v>127</v>
      </c>
      <c r="B131" s="35" t="inlineStr">
        <is>
          <t>管理・監視</t>
        </is>
      </c>
      <c r="C131" s="36" t="inlineStr">
        <is>
          <t>AWS Trusted Advisor</t>
        </is>
      </c>
      <c r="D131" s="35" t="inlineStr">
        <is>
          <t>コスト最適化・パフォーマンス・セキュリティ・耐障害性・サービスの制限・運用上の優秀性の観点で、アカウントの設定をベストプラクティスと照らしてチェックし推奨事項を示す</t>
        </is>
      </c>
      <c r="E131" s="35" t="inlineStr">
        <is>
          <t>コスト最適化や制限値の確認</t>
        </is>
      </c>
      <c r="F131" s="38" t="inlineStr">
        <is>
          <t>★</t>
        </is>
      </c>
      <c r="G131" s="39" t="n"/>
    </row>
    <row r="132" ht="29.85" customHeight="1" s="22">
      <c r="A132" s="34" t="n">
        <v>128</v>
      </c>
      <c r="B132" s="35" t="inlineStr">
        <is>
          <t>管理・監視</t>
        </is>
      </c>
      <c r="C132" s="36" t="inlineStr">
        <is>
          <t>AWS Control Tower</t>
        </is>
      </c>
      <c r="D132" s="35" t="inlineStr">
        <is>
          <t>ベストプラクティスに沿ったマルチアカウント環境(ランディングゾーン)を自動セットアップ</t>
        </is>
      </c>
      <c r="E132" s="35" t="inlineStr">
        <is>
          <t>マルチアカウント環境の迅速な構築とガードレール</t>
        </is>
      </c>
      <c r="F132" s="38" t="inlineStr">
        <is>
          <t>★</t>
        </is>
      </c>
      <c r="G132" s="39" t="n"/>
    </row>
    <row r="133" ht="15" customHeight="1" s="22">
      <c r="A133" s="34" t="n">
        <v>129</v>
      </c>
      <c r="B133" s="35" t="inlineStr">
        <is>
          <t>管理・監視</t>
        </is>
      </c>
      <c r="C133" s="36" t="inlineStr">
        <is>
          <t>AWS Health Dashboard</t>
        </is>
      </c>
      <c r="D133" s="37" t="inlineStr">
        <is>
          <t>AWSサービス全体の稼働状況と、自分のアカウントのリソースに影響するイベント(障害・予定されたメンテナンスなど)を確認・通知</t>
        </is>
      </c>
      <c r="E133" s="35" t="inlineStr">
        <is>
          <t>自アカウントに影響するイベントの把握</t>
        </is>
      </c>
      <c r="F133" s="38" t="inlineStr">
        <is>
          <t>★</t>
        </is>
      </c>
      <c r="G133" s="39" t="n"/>
    </row>
    <row r="134" ht="15" customHeight="1" s="22">
      <c r="A134" s="34" t="n">
        <v>130</v>
      </c>
      <c r="B134" s="35" t="inlineStr">
        <is>
          <t>管理・監視</t>
        </is>
      </c>
      <c r="C134" s="36" t="inlineStr">
        <is>
          <t>AWS Compute Optimizer</t>
        </is>
      </c>
      <c r="D134" s="35" t="inlineStr">
        <is>
          <t>利用状況からEC2・EBS・Lambda等の最適なサイズを推奨</t>
        </is>
      </c>
      <c r="E134" s="35" t="inlineStr">
        <is>
          <t>ライトサイジング</t>
        </is>
      </c>
      <c r="F134" s="38" t="inlineStr">
        <is>
          <t>★</t>
        </is>
      </c>
      <c r="G134" s="39" t="n"/>
    </row>
    <row r="135" ht="29.85" customHeight="1" s="22">
      <c r="A135" s="34" t="n">
        <v>131</v>
      </c>
      <c r="B135" s="35" t="inlineStr">
        <is>
          <t>移行</t>
        </is>
      </c>
      <c r="C135" s="36" t="inlineStr">
        <is>
          <t>AWS DMS</t>
        </is>
      </c>
      <c r="D135" s="37" t="inlineStr">
        <is>
          <t>Database Migration Service。移行中もソースDBを稼働させたまま、DBをAWSへ移行・継続的にレプリケーションする。同種(Oracle→Oracle)・異種(Oracle→Aurora)のどちらにも対応</t>
        </is>
      </c>
      <c r="E135" s="35" t="inlineStr">
        <is>
          <t>オンプレDB→RDS/Auroraの移行。継続的レプリケーション</t>
        </is>
      </c>
      <c r="F135" s="38" t="inlineStr">
        <is>
          <t>★★</t>
        </is>
      </c>
      <c r="G135" s="39" t="n"/>
    </row>
    <row r="136" ht="15" customHeight="1" s="22">
      <c r="A136" s="34" t="n">
        <v>132</v>
      </c>
      <c r="B136" s="35" t="inlineStr">
        <is>
          <t>移行</t>
        </is>
      </c>
      <c r="C136" s="36" t="inlineStr">
        <is>
          <t>AWS SCT</t>
        </is>
      </c>
      <c r="D136" s="37" t="inlineStr">
        <is>
          <t>Schema Conversion Tool。異種DB間でスキーマやコード(ストアドプロシージャ等)を変換する。同じ変換エンジンをマネージドで使えるDMS Schema Conversionもある</t>
        </is>
      </c>
      <c r="E136" s="37" t="inlineStr">
        <is>
          <t>Oracle→Auroraなど異種移行ではDMSとセットで使う</t>
        </is>
      </c>
      <c r="F136" s="38" t="inlineStr">
        <is>
          <t>★★</t>
        </is>
      </c>
      <c r="G136" s="39" t="n"/>
    </row>
    <row r="137" ht="23.85" customHeight="1" s="22">
      <c r="A137" s="34" t="n">
        <v>133</v>
      </c>
      <c r="B137" s="35" t="inlineStr">
        <is>
          <t>移行</t>
        </is>
      </c>
      <c r="C137" s="36" t="inlineStr">
        <is>
          <t>AWS Application Migration Service</t>
        </is>
      </c>
      <c r="D137" s="35" t="inlineStr">
        <is>
          <t>サーバーをそのままAWS(EC2)へリホスト(リフト&amp;シフト)する。ブロックレベルで継続的にレプリケートし、切り替え時のダウンタイムを最小化する</t>
        </is>
      </c>
      <c r="E137" s="35" t="inlineStr">
        <is>
          <t>オンプレサーバーの最小変更での移行</t>
        </is>
      </c>
      <c r="F137" s="38" t="inlineStr">
        <is>
          <t>★</t>
        </is>
      </c>
      <c r="G137" s="39" t="n"/>
    </row>
    <row r="138" ht="29.85" customHeight="1" s="22">
      <c r="A138" s="34" t="n">
        <v>134</v>
      </c>
      <c r="B138" s="35" t="inlineStr">
        <is>
          <t>移行</t>
        </is>
      </c>
      <c r="C138" s="32" t="inlineStr">
        <is>
          <t>移行戦略(7R)</t>
        </is>
      </c>
      <c r="D138" s="35" t="inlineStr">
        <is>
          <t>リホスト/リプラットフォーム/リファクタリング/リパーチェス/リタイア/保持/リロケート</t>
        </is>
      </c>
      <c r="E138" s="35" t="inlineStr">
        <is>
          <t>要件に合った移行アプローチの選択</t>
        </is>
      </c>
      <c r="F138" s="38" t="inlineStr">
        <is>
          <t>★</t>
        </is>
      </c>
      <c r="G138" s="39" t="n"/>
    </row>
    <row r="139" ht="15" customHeight="1" s="22">
      <c r="A139" s="34" t="n">
        <v>135</v>
      </c>
      <c r="B139" s="35" t="inlineStr">
        <is>
          <t>コスト管理</t>
        </is>
      </c>
      <c r="C139" s="36" t="inlineStr">
        <is>
          <t>AWS Cost Explorer</t>
        </is>
      </c>
      <c r="D139" s="35" t="inlineStr">
        <is>
          <t>過去のコストと使用量をサービス別・アカウント別などで可視化・分析し、将来のコストも予測</t>
        </is>
      </c>
      <c r="E139" s="35" t="inlineStr">
        <is>
          <t>コストの傾向分析・RIの推奨</t>
        </is>
      </c>
      <c r="F139" s="38" t="inlineStr">
        <is>
          <t>★★</t>
        </is>
      </c>
      <c r="G139" s="39" t="n"/>
    </row>
    <row r="140" ht="15" customHeight="1" s="22">
      <c r="A140" s="34" t="n">
        <v>136</v>
      </c>
      <c r="B140" s="35" t="inlineStr">
        <is>
          <t>コスト管理</t>
        </is>
      </c>
      <c r="C140" s="36" t="inlineStr">
        <is>
          <t>AWS Budgets</t>
        </is>
      </c>
      <c r="D140" s="35" t="inlineStr">
        <is>
          <t>コストや使用量の予算を設定し、実績や予測が閾値を超えたときにアラート(Budgets Actionsで自動対応も可能)</t>
        </is>
      </c>
      <c r="E140" s="35" t="inlineStr">
        <is>
          <t>予算超過の通知</t>
        </is>
      </c>
      <c r="F140" s="38" t="inlineStr">
        <is>
          <t>★★</t>
        </is>
      </c>
      <c r="G140" s="39" t="n"/>
    </row>
    <row r="141" ht="15" customHeight="1" s="22">
      <c r="A141" s="34" t="n">
        <v>137</v>
      </c>
      <c r="B141" s="35" t="inlineStr">
        <is>
          <t>コスト管理</t>
        </is>
      </c>
      <c r="C141" s="32" t="inlineStr">
        <is>
          <t>コスト配分タグ</t>
        </is>
      </c>
      <c r="D141" s="35" t="inlineStr">
        <is>
          <t>リソースに付けたタグ単位でコストを部門・プロジェクト別に集計(タグは請求コンソールで有効化が必要)</t>
        </is>
      </c>
      <c r="E141" s="35" t="inlineStr">
        <is>
          <t>部門別の課金把握</t>
        </is>
      </c>
      <c r="F141" s="38" t="inlineStr">
        <is>
          <t>★</t>
        </is>
      </c>
      <c r="G141" s="39" t="n"/>
    </row>
    <row r="142" ht="29.85" customHeight="1" s="22">
      <c r="A142" s="34" t="n">
        <v>138</v>
      </c>
      <c r="B142" s="35" t="inlineStr">
        <is>
          <t>コスト管理</t>
        </is>
      </c>
      <c r="C142" s="32" t="inlineStr">
        <is>
          <t>データ転送料金</t>
        </is>
      </c>
      <c r="D142" s="35" t="inlineStr">
        <is>
          <t>インバウンドは無料、アウトバウンドやAZ間・リージョン間通信は有料</t>
        </is>
      </c>
      <c r="E142" s="35" t="inlineStr">
        <is>
          <t>同一AZ内配置・VPCエンドポイント・CloudFrontで転送コスト削減</t>
        </is>
      </c>
      <c r="F142" s="38" t="inlineStr">
        <is>
          <t>★★</t>
        </is>
      </c>
      <c r="G142" s="39" t="n"/>
    </row>
    <row r="143" ht="15" customHeight="1" s="22">
      <c r="A143" s="34" t="n">
        <v>139</v>
      </c>
      <c r="B143" s="37" t="inlineStr">
        <is>
          <t>AI/ML</t>
        </is>
      </c>
      <c r="C143" s="36" t="inlineStr">
        <is>
          <t>Amazon Bedrock</t>
        </is>
      </c>
      <c r="D143" s="35" t="inlineStr">
        <is>
          <t>主要な基盤モデルをAPIで利用できる生成AIサービス</t>
        </is>
      </c>
      <c r="E143" s="35" t="inlineStr">
        <is>
          <t>生成AIアプリの構築(近年出題あり)</t>
        </is>
      </c>
      <c r="F143" s="38" t="inlineStr">
        <is>
          <t>★</t>
        </is>
      </c>
      <c r="G143" s="39" t="n"/>
    </row>
    <row r="144" ht="15" customHeight="1" s="22">
      <c r="A144" s="34" t="n">
        <v>140</v>
      </c>
      <c r="B144" s="37" t="inlineStr">
        <is>
          <t>AI/ML</t>
        </is>
      </c>
      <c r="C144" s="36" t="inlineStr">
        <is>
          <t>Amazon SageMaker AI</t>
        </is>
      </c>
      <c r="D144" s="35" t="inlineStr">
        <is>
          <t>機械学習モデルの構築・学習・デプロイ</t>
        </is>
      </c>
      <c r="E144" s="35" t="inlineStr">
        <is>
          <t>独自MLモデルの開発</t>
        </is>
      </c>
      <c r="F144" s="38" t="inlineStr">
        <is>
          <t>★</t>
        </is>
      </c>
      <c r="G144" s="39" t="n"/>
    </row>
    <row r="145" ht="15" customHeight="1" s="22">
      <c r="A145" s="34" t="n">
        <v>141</v>
      </c>
      <c r="B145" s="37" t="inlineStr">
        <is>
          <t>AI/ML</t>
        </is>
      </c>
      <c r="C145" s="36" t="inlineStr">
        <is>
          <t>Amazon Rekognition</t>
        </is>
      </c>
      <c r="D145" s="35" t="inlineStr">
        <is>
          <t>画像・動画分析(物体・顔検出、不適切コンテンツ検出)</t>
        </is>
      </c>
      <c r="E145" s="35" t="inlineStr">
        <is>
          <t>画像のモデレーション</t>
        </is>
      </c>
      <c r="F145" s="38" t="inlineStr">
        <is>
          <t>★</t>
        </is>
      </c>
      <c r="G145" s="39" t="n"/>
    </row>
    <row r="146" ht="29.85" customHeight="1" s="22">
      <c r="A146" s="34" t="n">
        <v>142</v>
      </c>
      <c r="B146" s="37" t="inlineStr">
        <is>
          <t>AI/ML</t>
        </is>
      </c>
      <c r="C146" s="36" t="inlineStr">
        <is>
          <t>Amazon Comprehend / Textract / Transcribe / Translate / Polly</t>
        </is>
      </c>
      <c r="D146" s="35" t="inlineStr">
        <is>
          <t>自然言語処理 / 文書からのテキスト抽出 / 音声→テキスト / 翻訳 / テキスト→音声</t>
        </is>
      </c>
      <c r="E146" s="35" t="inlineStr">
        <is>
          <t>用途に合うAIサービスの選択</t>
        </is>
      </c>
      <c r="F146" s="38" t="inlineStr">
        <is>
          <t>★</t>
        </is>
      </c>
      <c r="G146" s="39" t="n"/>
    </row>
    <row r="147" ht="29.85" customHeight="1" s="22">
      <c r="A147" s="34" t="n">
        <v>143</v>
      </c>
      <c r="B147" s="35" t="inlineStr">
        <is>
          <t>設計原則</t>
        </is>
      </c>
      <c r="C147" s="36" t="inlineStr">
        <is>
          <t>AWS Well-Architected フレームワーク</t>
        </is>
      </c>
      <c r="D147" s="37" t="inlineStr">
        <is>
          <t>6つの柱:運用上の優秀性、セキュリティ、信頼性、パフォーマンス効率、コスト最適化、持続可能性</t>
        </is>
      </c>
      <c r="E147" s="35" t="inlineStr">
        <is>
          <t>設計判断の拠り所</t>
        </is>
      </c>
      <c r="F147" s="38" t="inlineStr">
        <is>
          <t>★★★</t>
        </is>
      </c>
      <c r="G147" s="39" t="n"/>
    </row>
    <row r="148" ht="29.85" customHeight="1" s="22">
      <c r="A148" s="34" t="n">
        <v>144</v>
      </c>
      <c r="B148" s="35" t="inlineStr">
        <is>
          <t>設計原則</t>
        </is>
      </c>
      <c r="C148" s="32" t="inlineStr">
        <is>
          <t>リージョン / AZ / エッジロケーション</t>
        </is>
      </c>
      <c r="D148" s="35" t="inlineStr">
        <is>
          <t>リージョンは地理的エリア、AZはリージョン内の独立したデータセンター群、エッジはCDN拠点</t>
        </is>
      </c>
      <c r="E148" s="35" t="inlineStr">
        <is>
          <t>高可用性はマルチAZ、DR・規制対応はマルチリージョン</t>
        </is>
      </c>
      <c r="F148" s="38" t="inlineStr">
        <is>
          <t>★★★</t>
        </is>
      </c>
      <c r="G148" s="39" t="n"/>
    </row>
    <row r="149" ht="15" customHeight="1" s="22">
      <c r="A149" s="34" t="n">
        <v>145</v>
      </c>
      <c r="B149" s="35" t="inlineStr">
        <is>
          <t>設計原則</t>
        </is>
      </c>
      <c r="C149" s="36" t="inlineStr">
        <is>
          <t>RPO / RTO</t>
        </is>
      </c>
      <c r="D149" s="37" t="inlineStr">
        <is>
          <t>RPO:許容できるデータ損失の時間幅、RTO:復旧までの許容時間</t>
        </is>
      </c>
      <c r="E149" s="35" t="inlineStr">
        <is>
          <t>要件の数値からDR戦略を選ぶ</t>
        </is>
      </c>
      <c r="F149" s="38" t="inlineStr">
        <is>
          <t>★★★</t>
        </is>
      </c>
      <c r="G149" s="39" t="n"/>
    </row>
    <row r="150" ht="29.85" customHeight="1" s="22">
      <c r="A150" s="34" t="n">
        <v>146</v>
      </c>
      <c r="B150" s="35" t="inlineStr">
        <is>
          <t>設計原則</t>
        </is>
      </c>
      <c r="C150" s="36" t="inlineStr">
        <is>
          <t>DR戦略</t>
        </is>
      </c>
      <c r="D150" s="35" t="inlineStr">
        <is>
          <t>バックアップ&amp;リストア → パイロットライト → ウォームスタンバイ → マルチサイト(アクティブ/アクティブ)。右ほど高コスト・短RTO</t>
        </is>
      </c>
      <c r="E150" s="37" t="inlineStr">
        <is>
          <t>RPO/RTOとコストのバランスで選択</t>
        </is>
      </c>
      <c r="F150" s="38" t="inlineStr">
        <is>
          <t>★★★</t>
        </is>
      </c>
      <c r="G150" s="39" t="n"/>
    </row>
    <row r="151" ht="15" customHeight="1" s="22">
      <c r="A151" s="34" t="n">
        <v>147</v>
      </c>
      <c r="B151" s="35" t="inlineStr">
        <is>
          <t>設計原則</t>
        </is>
      </c>
      <c r="C151" s="32" t="inlineStr">
        <is>
          <t>疎結合(Decoupling)</t>
        </is>
      </c>
      <c r="D151" s="37" t="inlineStr">
        <is>
          <t>SQS・SNS・EventBridgeでコンポーネント間の依存を減らす</t>
        </is>
      </c>
      <c r="E151" s="35" t="inlineStr">
        <is>
          <t>スパイクへの耐性・障害の影響範囲縮小</t>
        </is>
      </c>
      <c r="F151" s="38" t="inlineStr">
        <is>
          <t>★★★</t>
        </is>
      </c>
      <c r="G151" s="39" t="n"/>
    </row>
    <row r="152" ht="29.85" customHeight="1" s="22">
      <c r="A152" s="34" t="n">
        <v>148</v>
      </c>
      <c r="B152" s="35" t="inlineStr">
        <is>
          <t>設計原則</t>
        </is>
      </c>
      <c r="C152" s="32" t="inlineStr">
        <is>
          <t>ステートレス設計</t>
        </is>
      </c>
      <c r="D152" s="35" t="inlineStr">
        <is>
          <t>セッション情報をElastiCacheやDynamoDBに外出しし、サーバーを使い捨て可能にする</t>
        </is>
      </c>
      <c r="E152" s="37" t="inlineStr">
        <is>
          <t>Auto Scalingでの水平スケールの前提</t>
        </is>
      </c>
      <c r="F152" s="38" t="inlineStr">
        <is>
          <t>★★</t>
        </is>
      </c>
      <c r="G152" s="39" t="n"/>
    </row>
    <row r="153" ht="29.85" customHeight="1" s="22">
      <c r="A153" s="34" t="n">
        <v>149</v>
      </c>
      <c r="B153" s="35" t="inlineStr">
        <is>
          <t>設計原則</t>
        </is>
      </c>
      <c r="C153" s="32" t="inlineStr">
        <is>
          <t>責任共有モデル</t>
        </is>
      </c>
      <c r="D153" s="37" t="inlineStr">
        <is>
          <t>AWSはクラウド「の」セキュリティ、顧客はクラウド「における」セキュリティに責任を持つ</t>
        </is>
      </c>
      <c r="E153" s="35" t="inlineStr">
        <is>
          <t>サービスごとに顧客が管理すべき範囲</t>
        </is>
      </c>
      <c r="F153" s="38" t="inlineStr">
        <is>
          <t>★★</t>
        </is>
      </c>
      <c r="G153" s="39" t="n"/>
    </row>
    <row r="154" ht="29.85" customHeight="1" s="22">
      <c r="A154" s="34" t="n">
        <v>150</v>
      </c>
      <c r="B154" s="35" t="inlineStr">
        <is>
          <t>設計原則</t>
        </is>
      </c>
      <c r="C154" s="32" t="inlineStr">
        <is>
          <t>暗号化(保存時/転送時)</t>
        </is>
      </c>
      <c r="D154" s="35" t="inlineStr">
        <is>
          <t>保存時:KMS・SSE-S3・SSE-KMS・SSE-C、転送時:TLS/SSL</t>
        </is>
      </c>
      <c r="E154" s="35" t="inlineStr">
        <is>
          <t>「キーの使用を監査したい」→SSE-KMS(CloudTrailで記録)</t>
        </is>
      </c>
      <c r="F154" s="38" t="inlineStr">
        <is>
          <t>★★★</t>
        </is>
      </c>
      <c r="G154" s="39" t="n"/>
    </row>
    <row r="155" ht="29.85" customHeight="1" s="22">
      <c r="A155" s="34" t="n">
        <v>151</v>
      </c>
      <c r="B155" s="35" t="inlineStr">
        <is>
          <t>設計原則</t>
        </is>
      </c>
      <c r="C155" s="32" t="inlineStr">
        <is>
          <t>サーバーレスアーキテクチャ</t>
        </is>
      </c>
      <c r="D155" s="37" t="inlineStr">
        <is>
          <t>API Gateway + Lambda + DynamoDB + S3などで管理不要・従量課金の構成</t>
        </is>
      </c>
      <c r="E155" s="35" t="inlineStr">
        <is>
          <t>「運用負荷を最小に」という要件のとき有力</t>
        </is>
      </c>
      <c r="F155" s="38" t="inlineStr">
        <is>
          <t>★★★</t>
        </is>
      </c>
      <c r="G155" s="39" t="n"/>
    </row>
    <row r="156" ht="29.85" customHeight="1" s="22">
      <c r="A156" s="34" t="n">
        <v>152</v>
      </c>
      <c r="B156" s="35" t="inlineStr">
        <is>
          <t>コンピューティング</t>
        </is>
      </c>
      <c r="C156" s="36" t="inlineStr">
        <is>
          <t>Amazon Lightsail</t>
        </is>
      </c>
      <c r="D156" s="35" t="inlineStr">
        <is>
          <t>仮想サーバー・ストレージ・DB・ネットワークなどをまとめた構成を、シンプルな月額の低価格で提供するサービス</t>
        </is>
      </c>
      <c r="E156" s="37" t="inlineStr">
        <is>
          <t>小規模なWebサイトやシンプルなアプリを低コスト・簡単に立ち上げたい→Lightsail</t>
        </is>
      </c>
      <c r="F156" s="38" t="inlineStr">
        <is>
          <t>★</t>
        </is>
      </c>
      <c r="G156" s="39" t="n"/>
    </row>
    <row r="157" ht="29.85" customHeight="1" s="22">
      <c r="A157" s="34" t="n">
        <v>153</v>
      </c>
      <c r="B157" s="35" t="inlineStr">
        <is>
          <t>コンピューティング</t>
        </is>
      </c>
      <c r="C157" s="36" t="inlineStr">
        <is>
          <t>VMware Cloud on AWS</t>
        </is>
      </c>
      <c r="D157" s="35" t="inlineStr">
        <is>
          <t>オンプレミスのVMware環境(vSphere/vSAN/NSX)と同じアーキテクチャをAWSのベアメタル上で実行する</t>
        </is>
      </c>
      <c r="E157" s="37" t="inlineStr">
        <is>
          <t>既存VMwareワークロードを再設計せずにクラウドへ移行・拡張したい</t>
        </is>
      </c>
      <c r="F157" s="38" t="inlineStr">
        <is>
          <t>★</t>
        </is>
      </c>
      <c r="G157" s="39" t="n"/>
    </row>
    <row r="158" ht="29.85" customHeight="1" s="22">
      <c r="A158" s="34" t="n">
        <v>154</v>
      </c>
      <c r="B158" s="35" t="inlineStr">
        <is>
          <t>コンピューティング</t>
        </is>
      </c>
      <c r="C158" s="36" t="inlineStr">
        <is>
          <t>AWS Auto Scaling</t>
        </is>
      </c>
      <c r="D158" s="35" t="inlineStr">
        <is>
          <t>EC2 Auto Scalingグループ、ECSサービスのタスク数、DynamoDBのキャパシティ、Auroraのレプリカ数など複数リソースのスケーリングをまとめて管理する</t>
        </is>
      </c>
      <c r="E158" s="37" t="inlineStr">
        <is>
          <t>EC2以外(ECS・DynamoDB・Aurora)も含めたトラフィック変動への自動対応</t>
        </is>
      </c>
      <c r="F158" s="38" t="inlineStr">
        <is>
          <t>★★</t>
        </is>
      </c>
      <c r="G158" s="39" t="n"/>
    </row>
    <row r="159" ht="29.85" customHeight="1" s="22">
      <c r="A159" s="34" t="n">
        <v>155</v>
      </c>
      <c r="B159" s="35" t="inlineStr">
        <is>
          <t>コンピューティング</t>
        </is>
      </c>
      <c r="C159" s="36" t="inlineStr">
        <is>
          <t>AWS Serverless Application Repository</t>
        </is>
      </c>
      <c r="D159" s="35" t="inlineStr">
        <is>
          <t>サーバーレスアプリケーション用のマネージド型リポジトリ。IAMによる権限管理でチーム・組織・個人が再利用可能なアプリを保存・共有できる</t>
        </is>
      </c>
      <c r="E159" s="37" t="inlineStr">
        <is>
          <t>サーバーレスアプリを組織内で共有・再利用したい→SAR</t>
        </is>
      </c>
      <c r="F159" s="38" t="inlineStr">
        <is>
          <t>★</t>
        </is>
      </c>
      <c r="G159" s="39" t="n"/>
    </row>
    <row r="160" ht="29.85" customHeight="1" s="22">
      <c r="A160" s="34" t="n">
        <v>156</v>
      </c>
      <c r="B160" s="35" t="inlineStr">
        <is>
          <t>コンピューティング</t>
        </is>
      </c>
      <c r="C160" s="36" t="inlineStr">
        <is>
          <t>AWSマネジメントコンソール</t>
        </is>
      </c>
      <c r="D160" s="35" t="inlineStr">
        <is>
          <t>WebブラウザからAWSリソースを操作するGUIツール</t>
        </is>
      </c>
      <c r="E160" s="37" t="inlineStr">
        <is>
          <t>GUIでの手動操作。自動化・繰り返し作業にはCLI/SDK/IaCを使う</t>
        </is>
      </c>
      <c r="F160" s="38" t="inlineStr">
        <is>
          <t>★</t>
        </is>
      </c>
      <c r="G160" s="39" t="n"/>
    </row>
    <row r="161" ht="29.85" customHeight="1" s="22">
      <c r="A161" s="34" t="n">
        <v>157</v>
      </c>
      <c r="B161" s="35" t="inlineStr">
        <is>
          <t>コンピューティング</t>
        </is>
      </c>
      <c r="C161" s="36" t="inlineStr">
        <is>
          <t>AWS CLI</t>
        </is>
      </c>
      <c r="D161" s="35" t="inlineStr">
        <is>
          <t>AWSの操作をコマンドラインから実行するツール</t>
        </is>
      </c>
      <c r="E161" s="37" t="inlineStr">
        <is>
          <t>スクリプト化による操作の自動化</t>
        </is>
      </c>
      <c r="F161" s="38" t="inlineStr">
        <is>
          <t>★</t>
        </is>
      </c>
      <c r="G161" s="39" t="n"/>
    </row>
    <row r="162" ht="29.85" customHeight="1" s="22">
      <c r="A162" s="34" t="n">
        <v>158</v>
      </c>
      <c r="B162" s="35" t="inlineStr">
        <is>
          <t>コンピューティング</t>
        </is>
      </c>
      <c r="C162" s="36" t="inlineStr">
        <is>
          <t>AWS CloudShell</t>
        </is>
      </c>
      <c r="D162" s="35" t="inlineStr">
        <is>
          <t>AWS CLI・PowerShell・ECS CLI・SAM CLIが使えるブラウザベースのシェル。Node.jsやPythonのランタイムも利用可能</t>
        </is>
      </c>
      <c r="E162" s="37" t="inlineStr">
        <is>
          <t>ローカルにツールを入れず、認証済みのシェルをすぐ使いたい</t>
        </is>
      </c>
      <c r="F162" s="38" t="inlineStr">
        <is>
          <t>★</t>
        </is>
      </c>
      <c r="G162" s="39" t="n"/>
    </row>
    <row r="163" ht="29.85" customHeight="1" s="22">
      <c r="A163" s="34" t="n">
        <v>159</v>
      </c>
      <c r="B163" s="35" t="inlineStr">
        <is>
          <t>コンピューティング</t>
        </is>
      </c>
      <c r="C163" s="36" t="inlineStr">
        <is>
          <t>EC2 Instance Connect</t>
        </is>
      </c>
      <c r="D163" s="35" t="inlineStr">
        <is>
          <t>EC2コンソールなどからSSHで、EC2インスタンスへシンプルかつ安全に接続する機能。一時的な公開鍵を都度プッシュする</t>
        </is>
      </c>
      <c r="E163" s="37" t="inlineStr">
        <is>
          <t>長期的なSSHキー管理なしで安全に接続(IAMで接続を制御)</t>
        </is>
      </c>
      <c r="F163" s="38" t="inlineStr">
        <is>
          <t>★★</t>
        </is>
      </c>
      <c r="G163" s="39" t="n"/>
    </row>
    <row r="164" ht="29.85" customHeight="1" s="22">
      <c r="A164" s="34" t="n">
        <v>160</v>
      </c>
      <c r="B164" s="35" t="inlineStr">
        <is>
          <t>コンピューティング</t>
        </is>
      </c>
      <c r="C164" s="36" t="inlineStr">
        <is>
          <t>AWS Copilot</t>
        </is>
      </c>
      <c r="D164" s="35" t="inlineStr">
        <is>
          <t>Amazon ECSやAWS Fargate上でコンテナアプリを簡単に構築・デプロイ・運用できる公式のコマンドラインツール</t>
        </is>
      </c>
      <c r="E164" s="37" t="inlineStr">
        <is>
          <t>コンテナアプリを少ない手順でECS/Fargateにデプロイしたい</t>
        </is>
      </c>
      <c r="F164" s="38" t="inlineStr">
        <is>
          <t>★</t>
        </is>
      </c>
      <c r="G164" s="39" t="n"/>
    </row>
    <row r="165" ht="29.85" customHeight="1" s="22">
      <c r="A165" s="34" t="n">
        <v>161</v>
      </c>
      <c r="B165" s="35" t="inlineStr">
        <is>
          <t>ストレージ</t>
        </is>
      </c>
      <c r="C165" s="36" t="inlineStr">
        <is>
          <t>S3 Glacier Flexible Retrieval</t>
        </is>
      </c>
      <c r="D165" s="35" t="inlineStr">
        <is>
          <t>低コストのアーカイブ用クラス(以前の名称はS3 Glacier)。取り出しは迅速(1〜5分)/標準(3〜5時間)/大容量(5〜12時間)から選ぶ。最低保存期間90日</t>
        </is>
      </c>
      <c r="E165" s="37" t="inlineStr">
        <is>
          <t>年に1〜2回程度アクセスし、数分〜数時間の取り出し待ちを許容できるバックアップ・アーカイブ</t>
        </is>
      </c>
      <c r="F165" s="38" t="inlineStr">
        <is>
          <t>★★</t>
        </is>
      </c>
      <c r="G165" s="39" t="n"/>
    </row>
    <row r="166" ht="29.85" customHeight="1" s="22">
      <c r="A166" s="34" t="n">
        <v>162</v>
      </c>
      <c r="B166" s="35" t="inlineStr">
        <is>
          <t>ストレージ</t>
        </is>
      </c>
      <c r="C166" s="36" t="inlineStr">
        <is>
          <t>S3 Glacier Instant Retrieval</t>
        </is>
      </c>
      <c r="D166" s="35" t="inlineStr">
        <is>
          <t>アーカイブ向けの低コストなクラスだが、取り出しはStandardと同じミリ秒単位。最低保存期間90日</t>
        </is>
      </c>
      <c r="E166" s="37" t="inlineStr">
        <is>
          <t>四半期に1回程度しかアクセスしないが、必要なときは即時に取り出したいデータ(医療画像・ニュース素材など)</t>
        </is>
      </c>
      <c r="F166" s="38" t="inlineStr">
        <is>
          <t>★★</t>
        </is>
      </c>
      <c r="G166" s="39" t="n"/>
    </row>
    <row r="167" ht="29.85" customHeight="1" s="22">
      <c r="A167" s="34" t="n">
        <v>163</v>
      </c>
      <c r="B167" s="35" t="inlineStr">
        <is>
          <t>ストレージ</t>
        </is>
      </c>
      <c r="C167" s="36" t="inlineStr">
        <is>
          <t>Amazon FSx for NetApp ONTAP</t>
        </is>
      </c>
      <c r="D167" s="35" t="inlineStr">
        <is>
          <t>NFS・SMB・iSCSIのマルチプロトコルに対応したフルマネージドファイルシステム。LinuxとWindowsの両方からアクセスでき、NetAppのスナップショットやレプリケーション機能をそのまま使える</t>
        </is>
      </c>
      <c r="E167" s="37" t="inlineStr">
        <is>
          <t>オンプレミスのNetApp環境をそのまま移行したい・LinuxとWindowsで同じデータを共有したい</t>
        </is>
      </c>
      <c r="F167" s="38" t="inlineStr">
        <is>
          <t>★★</t>
        </is>
      </c>
      <c r="G167" s="39" t="n"/>
    </row>
    <row r="168" ht="29.85" customHeight="1" s="22">
      <c r="A168" s="34" t="n">
        <v>164</v>
      </c>
      <c r="B168" s="35" t="inlineStr">
        <is>
          <t>ストレージ</t>
        </is>
      </c>
      <c r="C168" s="36" t="inlineStr">
        <is>
          <t>Amazon FSx for OpenZFS</t>
        </is>
      </c>
      <c r="D168" s="35" t="inlineStr">
        <is>
          <t>ZFSベースのフルマネージドファイルシステム。NFSでアクセスし、スナップショットやクローンを使える</t>
        </is>
      </c>
      <c r="E168" s="37" t="inlineStr">
        <is>
          <t>オンプレミスのZFSベースのファイルサーバーをアプリを変えずに移行したい</t>
        </is>
      </c>
      <c r="F168" s="38" t="inlineStr">
        <is>
          <t>★</t>
        </is>
      </c>
      <c r="G168" s="39" t="n"/>
    </row>
    <row r="169" ht="29.85" customHeight="1" s="22">
      <c r="A169" s="34" t="n">
        <v>165</v>
      </c>
      <c r="B169" s="35" t="inlineStr">
        <is>
          <t>データベース</t>
        </is>
      </c>
      <c r="C169" s="36" t="inlineStr">
        <is>
          <t>Amazon RDS Custom</t>
        </is>
      </c>
      <c r="D169" s="35" t="inlineStr">
        <is>
          <t>OSやDBエンジンの基盤にアクセスできるRDS(Oracle・SQL Serverが対象)。自動バックアップなどRDSの管理機能を保ちつつ、OSレベルのカスタマイズや独自パッチの適用ができる</t>
        </is>
      </c>
      <c r="E169" s="37" t="inlineStr">
        <is>
          <t>パッケージアプリの要件でDBサーバーのOSへのアクセス・カスタマイズが必要だが、マネージドの利点も残したい</t>
        </is>
      </c>
      <c r="F169" s="38" t="inlineStr">
        <is>
          <t>★</t>
        </is>
      </c>
      <c r="G169" s="39" t="n"/>
    </row>
    <row r="170" ht="29.85" customHeight="1" s="22">
      <c r="A170" s="34" t="n">
        <v>166</v>
      </c>
      <c r="B170" s="35" t="inlineStr">
        <is>
          <t>データベース</t>
        </is>
      </c>
      <c r="C170" s="36" t="inlineStr">
        <is>
          <t>Amazon RDS on Outposts</t>
        </is>
      </c>
      <c r="D170" s="35" t="inlineStr">
        <is>
          <t>AWS Outpostsを使い、オンプレミス(自社データセンターなど)でRDSのマネージドDBを実行する</t>
        </is>
      </c>
      <c r="E170" s="37" t="inlineStr">
        <is>
          <t>データをオンプレミスに置く必要がある(データ所在地要件)・オンプレのアプリから超低レイテンシでDBを使いたい</t>
        </is>
      </c>
      <c r="F170" s="38" t="inlineStr">
        <is>
          <t>★</t>
        </is>
      </c>
      <c r="G170" s="39" t="n"/>
    </row>
    <row r="171" ht="29.85" customHeight="1" s="22">
      <c r="A171" s="34" t="n">
        <v>167</v>
      </c>
      <c r="B171" s="35" t="inlineStr">
        <is>
          <t>分析</t>
        </is>
      </c>
      <c r="C171" s="36" t="inlineStr">
        <is>
          <t>Amazon CloudSearch</t>
        </is>
      </c>
      <c r="D171" s="35" t="inlineStr">
        <is>
          <t>Webサイトやアプリ向けの検索機能をシンプルに構築できるマネージド型の検索サービス。新規の利用は受け付けておらず、OpenSearch Serviceへの移行が推奨されている</t>
        </is>
      </c>
      <c r="E171" s="37" t="inlineStr">
        <is>
          <t>試験ではほぼ出題されない。検索・ログ分析の要件はOpenSearch Serviceを選ぶ</t>
        </is>
      </c>
      <c r="F171" s="38" t="inlineStr">
        <is>
          <t>★</t>
        </is>
      </c>
      <c r="G171" s="39" t="n"/>
    </row>
    <row r="172" ht="29.85" customHeight="1" s="22">
      <c r="A172" s="34" t="n">
        <v>168</v>
      </c>
      <c r="B172" s="35" t="inlineStr">
        <is>
          <t>ネットワーク</t>
        </is>
      </c>
      <c r="C172" s="36" t="inlineStr">
        <is>
          <t>AWS Client VPN</t>
        </is>
      </c>
      <c r="D172" s="35" t="inlineStr">
        <is>
          <t>OpenVPNベースのクライアントソフトを使い、個々のユーザーの端末からAWSやオンプレミスのネットワークへ安全に接続するマネージドVPN</t>
        </is>
      </c>
      <c r="E172" s="37" t="inlineStr">
        <is>
          <t>リモートワークの社員がPCから社内ネットワーク・VPCへ安全にアクセスしたい(拠点間の接続はSite-to-Site VPN)</t>
        </is>
      </c>
      <c r="F172" s="38" t="inlineStr">
        <is>
          <t>★★</t>
        </is>
      </c>
      <c r="G172" s="39" t="n"/>
    </row>
    <row r="173" ht="29.85" customHeight="1" s="22">
      <c r="A173" s="34" t="n">
        <v>169</v>
      </c>
      <c r="B173" s="35" t="inlineStr">
        <is>
          <t>ネットワーク</t>
        </is>
      </c>
      <c r="C173" s="36" t="inlineStr">
        <is>
          <t>AWS Cloud WAN</t>
        </is>
      </c>
      <c r="D173" s="35" t="inlineStr">
        <is>
          <t>複数リージョン・多数のVPC・オンプレミス拠点をつなぐグローバルなネットワークを、中央のポリシーで一元的に構築・管理するサービス</t>
        </is>
      </c>
      <c r="E173" s="37" t="inlineStr">
        <is>
          <t>複数リージョンにまたがる大規模なグローバルネットワークをまとめて管理したい</t>
        </is>
      </c>
      <c r="F173" s="38" t="inlineStr">
        <is>
          <t>★</t>
        </is>
      </c>
      <c r="G173" s="39" t="n"/>
    </row>
    <row r="174" ht="29.85" customHeight="1" s="22">
      <c r="A174" s="34" t="n">
        <v>170</v>
      </c>
      <c r="B174" s="35" t="inlineStr">
        <is>
          <t>管理・監視</t>
        </is>
      </c>
      <c r="C174" s="36" t="inlineStr">
        <is>
          <t>AWS Service Catalog</t>
        </is>
      </c>
      <c r="D174" s="35" t="inlineStr">
        <is>
          <t>組織で承認したCloudFormationテンプレートなどを「製品」としてカタログ化し、利用者はその中から選んでセルフサービスでデプロイできる</t>
        </is>
      </c>
      <c r="E174" s="37" t="inlineStr">
        <is>
          <t>開発者に、承認済みの標準構成のリソースだけをセルフサービスで起動させたい(ガバナンスと標準化)</t>
        </is>
      </c>
      <c r="F174" s="38" t="inlineStr">
        <is>
          <t>★</t>
        </is>
      </c>
      <c r="G174" s="39" t="n"/>
    </row>
    <row r="175" ht="29.85" customHeight="1" s="22">
      <c r="A175" s="34" t="n">
        <v>171</v>
      </c>
      <c r="B175" s="35" t="inlineStr">
        <is>
          <t>管理・監視</t>
        </is>
      </c>
      <c r="C175" s="36" t="inlineStr">
        <is>
          <t>AWS License Manager</t>
        </is>
      </c>
      <c r="D175" s="35" t="inlineStr">
        <is>
          <t>Microsoft・Oracleなどのソフトウェアライセンスの利用状況を、AWSとオンプレミスをまたいで一元管理・追跡する。ライセンスルールで上限を超える利用を防げる</t>
        </is>
      </c>
      <c r="E175" s="37" t="inlineStr">
        <is>
          <t>BYOLで持ち込んだライセンスの使用数を追跡し、契約数を超える利用を防ぎたい</t>
        </is>
      </c>
      <c r="F175" s="38" t="inlineStr">
        <is>
          <t>★</t>
        </is>
      </c>
      <c r="G175" s="39" t="n"/>
    </row>
    <row r="176" ht="29.85" customHeight="1" s="22">
      <c r="A176" s="34" t="n">
        <v>172</v>
      </c>
      <c r="B176" s="35" t="inlineStr">
        <is>
          <t>セキュリティ</t>
        </is>
      </c>
      <c r="C176" s="36" t="inlineStr">
        <is>
          <t>AWS Audit Manager</t>
        </is>
      </c>
      <c r="D176" s="35" t="inlineStr">
        <is>
          <t>AWSの利用状況から監査の証拠(エビデンス)を継続的に自動収集し、PCI DSS・GDPRなどの規制や業界標準に沿った監査レポートの作成を効率化する</t>
        </is>
      </c>
      <c r="E176" s="37" t="inlineStr">
        <is>
          <t>コンプライアンス監査に向けたエビデンス収集を自動化し、監査対応の手間を減らしたい</t>
        </is>
      </c>
      <c r="F176" s="38" t="inlineStr">
        <is>
          <t>★</t>
        </is>
      </c>
      <c r="G176" s="39" t="n"/>
    </row>
    <row r="177" ht="29.85" customHeight="1" s="22">
      <c r="A177" s="34" t="n">
        <v>173</v>
      </c>
      <c r="B177" s="35" t="inlineStr">
        <is>
          <t>管理・監視</t>
        </is>
      </c>
      <c r="C177" s="36" t="inlineStr">
        <is>
          <t>AWS X-Ray</t>
        </is>
      </c>
      <c r="D177" s="35" t="inlineStr">
        <is>
          <t>分散アプリケーションのリクエストをトレース(追跡)し、どのサービスで遅延やエラーが起きているかを特定する</t>
        </is>
      </c>
      <c r="E177" s="37" t="inlineStr">
        <is>
          <t>マイクロサービス・サーバーレス構成でボトルネックやエラーの発生箇所を特定したい</t>
        </is>
      </c>
      <c r="F177" s="38" t="inlineStr">
        <is>
          <t>★★</t>
        </is>
      </c>
      <c r="G177" s="39" t="n"/>
    </row>
    <row r="178" ht="29.85" customHeight="1" s="22">
      <c r="A178" s="34" t="n">
        <v>174</v>
      </c>
      <c r="B178" s="35" t="inlineStr">
        <is>
          <t>管理・監視</t>
        </is>
      </c>
      <c r="C178" s="36" t="inlineStr">
        <is>
          <t>CloudWatch RUM</t>
        </is>
      </c>
      <c r="D178" s="35" t="inlineStr">
        <is>
          <t>実際のユーザーのブラウザ上での体験(ページの表示速度・JavaScriptエラーなど)をリアルタイムに収集・監視する</t>
        </is>
      </c>
      <c r="E178" s="37" t="inlineStr">
        <is>
          <t>エンドユーザーの実際の表示性能やクライアント側のエラーを把握したい</t>
        </is>
      </c>
      <c r="F178" s="38" t="inlineStr">
        <is>
          <t>★</t>
        </is>
      </c>
      <c r="G178" s="39" t="n"/>
    </row>
    <row r="179" ht="29.85" customHeight="1" s="22">
      <c r="A179" s="34" t="n">
        <v>175</v>
      </c>
      <c r="B179" s="35" t="inlineStr">
        <is>
          <t>管理・監視</t>
        </is>
      </c>
      <c r="C179" s="36" t="inlineStr">
        <is>
          <t>CloudWatch Application Insights</t>
        </is>
      </c>
      <c r="D179" s="35" t="inlineStr">
        <is>
          <t>アプリケーションと基盤リソース(EC2、データベース等)の監視を自動で設定し、問題を検出してダッシュボードで原因の手がかりを示す</t>
        </is>
      </c>
      <c r="E179" s="37" t="inlineStr">
        <is>
          <t>.NET・SQL Serverなどのアプリの問題検出と監視設定を自動化したい</t>
        </is>
      </c>
      <c r="F179" s="38" t="inlineStr">
        <is>
          <t>★</t>
        </is>
      </c>
      <c r="G179" s="39" t="n"/>
    </row>
    <row r="180" ht="29.85" customHeight="1" s="22">
      <c r="A180" s="34" t="n">
        <v>176</v>
      </c>
      <c r="B180" s="35" t="inlineStr">
        <is>
          <t>管理・監視</t>
        </is>
      </c>
      <c r="C180" s="36" t="inlineStr">
        <is>
          <t>CloudWatch ServiceLens</t>
        </is>
      </c>
      <c r="D180" s="35" t="inlineStr">
        <is>
          <t>X-Rayのトレースと、CloudWatchのメトリクス・ログを統合して、アプリ全体の状態や依存関係を俯瞰する機能。現在はX-Rayのサービスマップと統合され、CloudWatchコンソールの「トレースマップ」になっている</t>
        </is>
      </c>
      <c r="E180" s="37" t="inlineStr">
        <is>
          <t>トレース・メトリクス・ログを1か所で関連づけて見たい</t>
        </is>
      </c>
      <c r="F180" s="38" t="inlineStr">
        <is>
          <t>★</t>
        </is>
      </c>
      <c r="G180" s="39" t="n"/>
    </row>
    <row r="181" ht="29.85" customHeight="1" s="22">
      <c r="A181" s="34" t="n">
        <v>177</v>
      </c>
      <c r="B181" s="35" t="inlineStr">
        <is>
          <t>管理・監視</t>
        </is>
      </c>
      <c r="C181" s="36" t="inlineStr">
        <is>
          <t>AWS Well-Architected Tool</t>
        </is>
      </c>
      <c r="D181" s="35" t="inlineStr">
        <is>
          <t>6つの柱に沿った質問に回答して、ワークロードの設計をレビューし、ベストプラクティスとの差分(リスク)と改善計画を得られるツール</t>
        </is>
      </c>
      <c r="E181" s="37" t="inlineStr">
        <is>
          <t>既存ワークロードの設計をベストプラクティスに照らして定期的にレビューしたい</t>
        </is>
      </c>
      <c r="F181" s="38" t="inlineStr">
        <is>
          <t>★</t>
        </is>
      </c>
      <c r="G181" s="39" t="n"/>
    </row>
    <row r="182" ht="29.85" customHeight="1" s="22">
      <c r="A182" s="34" t="n">
        <v>178</v>
      </c>
      <c r="B182" s="35" t="inlineStr">
        <is>
          <t>管理・監視</t>
        </is>
      </c>
      <c r="C182" s="36" t="inlineStr">
        <is>
          <t>AWS Resource Groups</t>
        </is>
      </c>
      <c r="D182" s="35" t="inlineStr">
        <is>
          <t>タグやCloudFormationスタックなどの条件で複数のAWSリソースを論理的にグループ化し、まとめて確認・操作できる</t>
        </is>
      </c>
      <c r="E182" s="37" t="inlineStr">
        <is>
          <t>アプリ・環境単位でリソースをまとめて管理し、Systems Managerなどで一括操作したい</t>
        </is>
      </c>
      <c r="F182" s="38" t="inlineStr">
        <is>
          <t>★</t>
        </is>
      </c>
      <c r="G182" s="39" t="n"/>
    </row>
    <row r="183" ht="29.85" customHeight="1" s="22">
      <c r="A183" s="34" t="n">
        <v>179</v>
      </c>
      <c r="B183" s="35" t="inlineStr">
        <is>
          <t>管理・監視</t>
        </is>
      </c>
      <c r="C183" s="36" t="inlineStr">
        <is>
          <t>Tag Editor</t>
        </is>
      </c>
      <c r="D183" s="35" t="inlineStr">
        <is>
          <t>複数のリージョン・サービスにまたがるリソースを検索し、タグを一括で追加・編集・削除できるツール</t>
        </is>
      </c>
      <c r="E183" s="37" t="inlineStr">
        <is>
          <t>既存の多数のリソースにタグをまとめて付け直したい(コスト配分タグの整備など)</t>
        </is>
      </c>
      <c r="F183" s="38" t="inlineStr">
        <is>
          <t>★</t>
        </is>
      </c>
      <c r="G183" s="39" t="n"/>
    </row>
    <row r="184" ht="29.85" customHeight="1" s="22">
      <c r="A184" s="34" t="n">
        <v>180</v>
      </c>
      <c r="B184" s="35" t="inlineStr">
        <is>
          <t>管理・監視</t>
        </is>
      </c>
      <c r="C184" s="36" t="inlineStr">
        <is>
          <t>AWS Resource Access Manager(RAM)</t>
        </is>
      </c>
      <c r="D184" s="35" t="inlineStr">
        <is>
          <t>VPCサブネット・Transit Gateway・Route 53 Resolverルールなどを、ほかのAWSアカウントやOrganizations内で、複製せずに共有できる</t>
        </is>
      </c>
      <c r="E184" s="37" t="inlineStr">
        <is>
          <t>複数アカウントで1つのVPCのサブネットやTransit Gatewayを共有したい</t>
        </is>
      </c>
      <c r="F184" s="38" t="inlineStr">
        <is>
          <t>★★</t>
        </is>
      </c>
      <c r="G184" s="39" t="n"/>
    </row>
    <row r="185" ht="29.85" customHeight="1" s="22">
      <c r="A185" s="34" t="n">
        <v>181</v>
      </c>
      <c r="B185" s="35" t="inlineStr">
        <is>
          <t>管理・監視</t>
        </is>
      </c>
      <c r="C185" s="36" t="inlineStr">
        <is>
          <t>AWSサポートプラン</t>
        </is>
      </c>
      <c r="D185" s="35" t="inlineStr">
        <is>
          <t>AWSの利用を支援するサポート体系。現在は無料のBasicと、有料のBusiness Support+、Enterprise Support、Unified Operationsがあり、上位ほど応答時間が短く支援が手厚い(Developer・Business・Enterprise On-Rampは2027年1月1日に終了)</t>
        </is>
      </c>
      <c r="E185" s="37" t="inlineStr">
        <is>
          <t>本番ワークロードの障害対応の速さや、専任担当者が必要かでプランを選ぶ</t>
        </is>
      </c>
      <c r="F185" s="38" t="inlineStr">
        <is>
          <t>★</t>
        </is>
      </c>
      <c r="G185" s="39" t="n"/>
    </row>
    <row r="186" ht="29.85" customHeight="1" s="22">
      <c r="A186" s="34" t="n">
        <v>182</v>
      </c>
      <c r="B186" s="35" t="inlineStr">
        <is>
          <t>管理・監視</t>
        </is>
      </c>
      <c r="C186" s="36" t="inlineStr">
        <is>
          <t>TAM(テクニカルアカウントマネージャー)</t>
        </is>
      </c>
      <c r="D186" s="35" t="inlineStr">
        <is>
          <t>自社に指名される技術担当者。アーキテクチャ・運用・コスト・セキュリティなどを事前対応型で支援する。Enterprise SupportとUnified Operationsで利用できる</t>
        </is>
      </c>
      <c r="E186" s="37" t="inlineStr">
        <is>
          <t>専任の技術窓口による継続的・プロアクティブな支援が必要→Enterprise Support以上</t>
        </is>
      </c>
      <c r="F186" s="38" t="inlineStr">
        <is>
          <t>★</t>
        </is>
      </c>
      <c r="G186" s="39" t="n"/>
    </row>
    <row r="187" ht="29.85" customHeight="1" s="22">
      <c r="A187" s="34" t="n">
        <v>183</v>
      </c>
      <c r="B187" s="35" t="inlineStr">
        <is>
          <t>管理・監視</t>
        </is>
      </c>
      <c r="C187" s="36" t="inlineStr">
        <is>
          <t>コンシェルジュサポートチーム</t>
        </is>
      </c>
      <c r="D187" s="35" t="inlineStr">
        <is>
          <t>請求やアカウント管理など、技術以外の問い合わせに対応する上位プラン向けの専門チーム。請求内容の確認やコストを抑える使い方の見直しも支援する</t>
        </is>
      </c>
      <c r="E187" s="37" t="inlineStr">
        <is>
          <t>請求・アカウント管理の手厚い支援が必要→Enterprise Support以上</t>
        </is>
      </c>
      <c r="F187" s="38" t="inlineStr">
        <is>
          <t>★</t>
        </is>
      </c>
      <c r="G187" s="39" t="n"/>
    </row>
    <row r="188" ht="29.85" customHeight="1" s="22">
      <c r="A188" s="34" t="n">
        <v>184</v>
      </c>
      <c r="B188" s="35" t="inlineStr">
        <is>
          <t>管理・監視</t>
        </is>
      </c>
      <c r="C188" s="36" t="inlineStr">
        <is>
          <t>AWSパートナーネットワーク(APN)</t>
        </is>
      </c>
      <c r="D188" s="35" t="inlineStr">
        <is>
          <t>AWSを活用したソリューションやサービスを提供するパートナー企業のプログラム・コミュニティ。AWSの技術支援などを受けながら顧客のAWS導入を支援する</t>
        </is>
      </c>
      <c r="E188" s="37" t="inlineStr">
        <is>
          <t>自社にスキルがなく、導入・移行を支援する外部企業を探したい</t>
        </is>
      </c>
      <c r="F188" s="38" t="inlineStr">
        <is>
          <t>★</t>
        </is>
      </c>
      <c r="G188" s="39" t="n"/>
    </row>
    <row r="189" ht="29.85" customHeight="1" s="22">
      <c r="A189" s="34" t="n">
        <v>185</v>
      </c>
      <c r="B189" s="35" t="inlineStr">
        <is>
          <t>管理・監視</t>
        </is>
      </c>
      <c r="C189" s="36" t="inlineStr">
        <is>
          <t>AWSプロフェッショナルサービス</t>
        </is>
      </c>
      <c r="D189" s="35" t="inlineStr">
        <is>
          <t>AWSのエキスパートチームが、クラウド導入や移行などで企業の目標に沿った成果を出せるよう支援する、AWS直営のコンサルティングサービス</t>
        </is>
      </c>
      <c r="E189" s="37" t="inlineStr">
        <is>
          <t>大規模な移行・変革をAWS自身の専門チームに支援してほしい</t>
        </is>
      </c>
      <c r="F189" s="38" t="inlineStr">
        <is>
          <t>★</t>
        </is>
      </c>
      <c r="G189" s="39" t="n"/>
    </row>
    <row r="190" ht="29.85" customHeight="1" s="22">
      <c r="A190" s="34" t="n">
        <v>186</v>
      </c>
      <c r="B190" s="35" t="inlineStr">
        <is>
          <t>管理・監視</t>
        </is>
      </c>
      <c r="C190" s="36" t="inlineStr">
        <is>
          <t>AWSパートナーパス</t>
        </is>
      </c>
      <c r="D190" s="35" t="inlineStr">
        <is>
          <t>APNの現在の参加の枠組み。ソフトウェア・サービス・トレーニングなどのパス(道筋)ごとに、トレーニング・技術支援・マーケティング支援などの特典を受けられる</t>
        </is>
      </c>
      <c r="E190" s="37" t="inlineStr">
        <is>
          <t>パートナー企業がAWSとの協業を深めるためのプログラム</t>
        </is>
      </c>
      <c r="F190" s="38" t="inlineStr">
        <is>
          <t>★</t>
        </is>
      </c>
      <c r="G190" s="39" t="n"/>
    </row>
    <row r="191" ht="29.85" customHeight="1" s="22">
      <c r="A191" s="34" t="n">
        <v>187</v>
      </c>
      <c r="B191" s="35" t="inlineStr">
        <is>
          <t>管理・監視</t>
        </is>
      </c>
      <c r="C191" s="36" t="inlineStr">
        <is>
          <t>コンサルティングパートナー</t>
        </is>
      </c>
      <c r="D191" s="35" t="inlineStr">
        <is>
          <t>AWS上のシステムの設計・構築・移行・運用などを顧客に代わって行うパートナー企業(SIerなど)。パートナーパスでは「サービス」パスにあたる</t>
        </is>
      </c>
      <c r="E191" s="37" t="inlineStr">
        <is>
          <t>設計・構築・移行を任せられる外部の企業を探したい</t>
        </is>
      </c>
      <c r="F191" s="38" t="inlineStr">
        <is>
          <t>★</t>
        </is>
      </c>
      <c r="G191" s="39" t="n"/>
    </row>
    <row r="192" ht="29.85" customHeight="1" s="22">
      <c r="A192" s="34" t="n">
        <v>188</v>
      </c>
      <c r="B192" s="35" t="inlineStr">
        <is>
          <t>管理・監視</t>
        </is>
      </c>
      <c r="C192" s="36" t="inlineStr">
        <is>
          <t>AWS IQ</t>
        </is>
      </c>
      <c r="D192" s="35" t="inlineStr">
        <is>
          <t>AWS認定の専門家(個人・企業)を探し、プロジェクト単位で依頼・協働できたマーケットプレイス。2026年5月28日にサービス終了し、AWS Marketplaceのプロフェッショナルサービスなどに移行している</t>
        </is>
      </c>
      <c r="E192" s="37" t="inlineStr">
        <is>
          <t>試験ではほぼ出題されない。外部の専門家への依頼はAPNのパートナーやAWS Marketplaceで探す</t>
        </is>
      </c>
      <c r="F192" s="38" t="inlineStr">
        <is>
          <t>★</t>
        </is>
      </c>
      <c r="G192" s="39" t="n"/>
    </row>
    <row r="193" ht="29.85" customHeight="1" s="22">
      <c r="A193" s="34" t="n">
        <v>189</v>
      </c>
      <c r="B193" s="35" t="inlineStr">
        <is>
          <t>管理・監視</t>
        </is>
      </c>
      <c r="C193" s="36" t="inlineStr">
        <is>
          <t>AWS Managed Services(AMS)</t>
        </is>
      </c>
      <c r="D193" s="35" t="inlineStr">
        <is>
          <t>AWSインフラの運用(監視、パッチ適用、インシデント対応、変更管理、バックアップなど)をAWSに任せられるサービス</t>
        </is>
      </c>
      <c r="E193" s="37" t="inlineStr">
        <is>
          <t>運用の人手が足りず、インフラ運用そのものをAWSに委託したい</t>
        </is>
      </c>
      <c r="F193" s="38" t="inlineStr">
        <is>
          <t>★</t>
        </is>
      </c>
      <c r="G193" s="39" t="n"/>
    </row>
    <row r="194" ht="29.85" customHeight="1" s="22">
      <c r="A194" s="34" t="n">
        <v>190</v>
      </c>
      <c r="B194" s="35" t="inlineStr">
        <is>
          <t>管理・監視</t>
        </is>
      </c>
      <c r="C194" s="36" t="inlineStr">
        <is>
          <t>Service Quotas</t>
        </is>
      </c>
      <c r="D194" s="35" t="inlineStr">
        <is>
          <t>AWSサービスごとの利用上限(クォータ)を一元的に確認し、引き上げを申請できる。CloudWatchで上限への接近をアラームできる</t>
        </is>
      </c>
      <c r="E194" s="37" t="inlineStr">
        <is>
          <t>上限に達してリソースを作れない事態を防ぐ。クォータの確認と引き上げ申請</t>
        </is>
      </c>
      <c r="F194" s="38" t="inlineStr">
        <is>
          <t>★★</t>
        </is>
      </c>
      <c r="G194" s="39" t="n"/>
    </row>
    <row r="195" ht="29.85" customHeight="1" s="22">
      <c r="A195" s="34" t="n">
        <v>191</v>
      </c>
      <c r="B195" s="35" t="inlineStr">
        <is>
          <t>管理・監視</t>
        </is>
      </c>
      <c r="C195" s="36" t="inlineStr">
        <is>
          <t>AWS Partner Solutions(旧クイックスタート)</t>
        </is>
      </c>
      <c r="D195" s="35" t="inlineStr">
        <is>
          <t>AWSやパートナーが作成した、ベストプラクティスに沿った構成をCloudFormationテンプレートで短時間にデプロイできるリファレンス構成集</t>
        </is>
      </c>
      <c r="E195" s="37" t="inlineStr">
        <is>
          <t>定番の構成をベストプラクティスに沿ってすばやく自動構築したい</t>
        </is>
      </c>
      <c r="F195" s="38" t="inlineStr">
        <is>
          <t>★</t>
        </is>
      </c>
      <c r="G195" s="39" t="n"/>
    </row>
    <row r="196" ht="29.85" customHeight="1" s="22">
      <c r="A196" s="34" t="n">
        <v>192</v>
      </c>
      <c r="B196" s="35" t="inlineStr">
        <is>
          <t>管理・監視</t>
        </is>
      </c>
      <c r="C196" s="36" t="inlineStr">
        <is>
          <t>AWS Artifact</t>
        </is>
      </c>
      <c r="D196" s="35" t="inlineStr">
        <is>
          <t>AWSのコンプライアンスレポート(SOC、ISO、PCIなど)や契約・合意書(BAAなど)をオンラインでダウンロードできるセルフサービスのポータル</t>
        </is>
      </c>
      <c r="E196" s="37" t="inlineStr">
        <is>
          <t>監査人にAWS側のコンプライアンスの証明書・レポートを提出したい</t>
        </is>
      </c>
      <c r="F196" s="38" t="inlineStr">
        <is>
          <t>★★</t>
        </is>
      </c>
      <c r="G196" s="39" t="n"/>
    </row>
    <row r="197" ht="29.85" customHeight="1" s="22">
      <c r="A197" s="34" t="n">
        <v>193</v>
      </c>
      <c r="B197" s="35" t="inlineStr">
        <is>
          <t>管理・監視</t>
        </is>
      </c>
      <c r="C197" s="36" t="inlineStr">
        <is>
          <t>Amazon Managed Grafana</t>
        </is>
      </c>
      <c r="D197" s="35" t="inlineStr">
        <is>
          <t>オープンソースの可視化ツールGrafanaをフルマネージドで提供し、複数のデータソースのメトリクス・ログ・トレースをダッシュボードで可視化する</t>
        </is>
      </c>
      <c r="E197" s="37" t="inlineStr">
        <is>
          <t>CloudWatch・Prometheusなど複数のデータソースを1つのダッシュボードで可視化したい</t>
        </is>
      </c>
      <c r="F197" s="38" t="inlineStr">
        <is>
          <t>★</t>
        </is>
      </c>
      <c r="G197" s="39" t="n"/>
    </row>
    <row r="198" ht="29.85" customHeight="1" s="22">
      <c r="A198" s="34" t="n">
        <v>194</v>
      </c>
      <c r="B198" s="35" t="inlineStr">
        <is>
          <t>管理・監視</t>
        </is>
      </c>
      <c r="C198" s="36" t="inlineStr">
        <is>
          <t>Amazon Managed Service for Prometheus</t>
        </is>
      </c>
      <c r="D198" s="35" t="inlineStr">
        <is>
          <t>Prometheus互換のメトリクス監視をマネージドで提供し、EKS・ECSなどのコンテナ環境のメトリクスを収集・保存・クエリできる</t>
        </is>
      </c>
      <c r="E198" s="37" t="inlineStr">
        <is>
          <t>コンテナのメトリクス監視を、Prometheusのまま運用負荷なく拡張したい</t>
        </is>
      </c>
      <c r="F198" s="38" t="inlineStr">
        <is>
          <t>★</t>
        </is>
      </c>
      <c r="G198" s="39" t="n"/>
    </row>
    <row r="199" ht="29.85" customHeight="1" s="22">
      <c r="A199" s="34" t="n">
        <v>195</v>
      </c>
      <c r="B199" s="35" t="inlineStr">
        <is>
          <t>管理・監視</t>
        </is>
      </c>
      <c r="C199" s="36" t="inlineStr">
        <is>
          <t>AWS Proton</t>
        </is>
      </c>
      <c r="D199" s="35" t="inlineStr">
        <is>
          <t>プラットフォームチームがコンテナやサーバーレス向けのインフラテンプレートを標準化し、開発者がセルフサービスでデプロイできるようにするサービス。2026年10月7日にサポート終了</t>
        </is>
      </c>
      <c r="E199" s="37" t="inlineStr">
        <is>
          <t>試験ではほぼ出題されない。標準構成のセルフサービス提供はService Catalogなどを選ぶ</t>
        </is>
      </c>
      <c r="F199" s="38" t="inlineStr">
        <is>
          <t>★</t>
        </is>
      </c>
      <c r="G199" s="39" t="n"/>
    </row>
    <row r="200" ht="29.85" customHeight="1" s="22">
      <c r="A200" s="34" t="n">
        <v>196</v>
      </c>
      <c r="B200" s="35" t="inlineStr">
        <is>
          <t>コスト管理</t>
        </is>
      </c>
      <c r="C200" s="36" t="inlineStr">
        <is>
          <t>AWS Cost and Usage Report(CUR)</t>
        </is>
      </c>
      <c r="D200" s="35" t="inlineStr">
        <is>
          <t>AWSの利用料金と使用量について最も詳細なデータを、CSV/Parquet形式でS3に出力するレポート。Athenaなどで詳細に分析できる</t>
        </is>
      </c>
      <c r="E200" s="37" t="inlineStr">
        <is>
          <t>リソース単位・時間単位の詳細なコストデータをSQLで分析したい</t>
        </is>
      </c>
      <c r="F200" s="38" t="inlineStr">
        <is>
          <t>★★</t>
        </is>
      </c>
      <c r="G200" s="39" t="n"/>
    </row>
    <row r="201" ht="29.85" customHeight="1" s="22">
      <c r="A201" s="34" t="n">
        <v>197</v>
      </c>
      <c r="B201" s="35" t="inlineStr">
        <is>
          <t>コスト管理</t>
        </is>
      </c>
      <c r="C201" s="36" t="inlineStr">
        <is>
          <t>コストカテゴリ</t>
        </is>
      </c>
      <c r="D201" s="35" t="inlineStr">
        <is>
          <t>アカウント・タグ・サービスなどのルールで、コストを独自のグループ(部門・プロジェクトなど)に分類する機能。Cost ExplorerやBudgetsで使える</t>
        </is>
      </c>
      <c r="E201" s="37" t="inlineStr">
        <is>
          <t>複数の条件を組み合わせて、組織の単位ごとにコストを集計したい</t>
        </is>
      </c>
      <c r="F201" s="38" t="inlineStr">
        <is>
          <t>★</t>
        </is>
      </c>
      <c r="G201" s="39" t="n"/>
    </row>
    <row r="202" ht="29.85" customHeight="1" s="22">
      <c r="A202" s="34" t="n">
        <v>198</v>
      </c>
      <c r="B202" s="35" t="inlineStr">
        <is>
          <t>コスト管理</t>
        </is>
      </c>
      <c r="C202" s="36" t="inlineStr">
        <is>
          <t>AWS Pricing Calculator</t>
        </is>
      </c>
      <c r="D202" s="35" t="inlineStr">
        <is>
          <t>これから使うAWSサービスの構成を入力して、事前に月額コストを見積もれるツール</t>
        </is>
      </c>
      <c r="E202" s="37" t="inlineStr">
        <is>
          <t>移行・構築前のコスト見積もり</t>
        </is>
      </c>
      <c r="F202" s="38" t="inlineStr">
        <is>
          <t>★</t>
        </is>
      </c>
      <c r="G202" s="39" t="n"/>
    </row>
    <row r="203" ht="29.85" customHeight="1" s="22">
      <c r="A203" s="34" t="n">
        <v>199</v>
      </c>
      <c r="B203" s="35" t="inlineStr">
        <is>
          <t>コスト管理</t>
        </is>
      </c>
      <c r="C203" s="36" t="inlineStr">
        <is>
          <t>AWS Cost Anomaly Detection</t>
        </is>
      </c>
      <c r="D203" s="35" t="inlineStr">
        <is>
          <t>機械学習でコストの異常(急な増加など)を自動で検出し、原因の手がかりとともに通知する</t>
        </is>
      </c>
      <c r="E203" s="37" t="inlineStr">
        <is>
          <t>固定の予算額ではなく、いつもと違うコストの増え方を検知したい</t>
        </is>
      </c>
      <c r="F203" s="38" t="inlineStr">
        <is>
          <t>★</t>
        </is>
      </c>
      <c r="G203" s="39" t="n"/>
    </row>
    <row r="204" ht="29.85" customHeight="1" s="22">
      <c r="A204" s="34" t="n">
        <v>200</v>
      </c>
      <c r="B204" s="35" t="inlineStr">
        <is>
          <t>移行</t>
        </is>
      </c>
      <c r="C204" s="36" t="inlineStr">
        <is>
          <t>VM Import/Export</t>
        </is>
      </c>
      <c r="D204" s="35" t="inlineStr">
        <is>
          <t>VMware vSphere・Microsoft Hyper-Vなどの仮想マシンイメージをインポートしてEC2のAMIにする、またはEC2インスタンスを仮想マシンイメージとしてエクスポートする機能</t>
        </is>
      </c>
      <c r="E204" s="37" t="inlineStr">
        <is>
          <t>既存の仮想マシンイメージ(社内で作り込んだゴールデンイメージなど)をそのままEC2で使いたい</t>
        </is>
      </c>
      <c r="F204" s="38" t="inlineStr">
        <is>
          <t>★</t>
        </is>
      </c>
      <c r="G204" s="39" t="n"/>
    </row>
    <row r="205" ht="29.85" customHeight="1" s="22">
      <c r="A205" s="34" t="n">
        <v>201</v>
      </c>
      <c r="B205" s="35" t="inlineStr">
        <is>
          <t>移行</t>
        </is>
      </c>
      <c r="C205" s="36" t="inlineStr">
        <is>
          <t>AWS Application Discovery Service</t>
        </is>
      </c>
      <c r="D205" s="35" t="inlineStr">
        <is>
          <t>オンプレミスのサーバーの構成情報・使用状況(CPU・メモリ・ディスク)・サーバー間の通信(依存関係)を収集して、移行計画に役立てる。エージェント型とエージェントレス型がある。2025年11月7日から新規の利用は受け付けておらず、AWS Transformが後継として案内されている</t>
        </is>
      </c>
      <c r="E205" s="37" t="inlineStr">
        <is>
          <t>移行前にオンプレミスのサーバー一覧・使用率・依存関係を把握したい</t>
        </is>
      </c>
      <c r="F205" s="38" t="inlineStr">
        <is>
          <t>★</t>
        </is>
      </c>
      <c r="G205" s="39" t="n"/>
    </row>
    <row r="206" ht="29.85" customHeight="1" s="22">
      <c r="A206" s="34" t="n">
        <v>202</v>
      </c>
      <c r="B206" s="35" t="inlineStr">
        <is>
          <t>移行</t>
        </is>
      </c>
      <c r="C206" s="36" t="inlineStr">
        <is>
          <t>AWS Migration Hub</t>
        </is>
      </c>
      <c r="D206" s="35" t="inlineStr">
        <is>
          <t>Application Migration ServiceやDMSなど、複数の移行ツールによる移行の進捗を1か所で追跡・管理する。2025年11月7日から新規の利用は受け付けておらず、AWS Transformが後継として案内されている</t>
        </is>
      </c>
      <c r="E206" s="37" t="inlineStr">
        <is>
          <t>複数のツール・アカウントにまたがる移行の状況を一元的に把握したい</t>
        </is>
      </c>
      <c r="F206" s="38" t="inlineStr">
        <is>
          <t>★</t>
        </is>
      </c>
      <c r="G206" s="39" t="n"/>
    </row>
    <row r="207" ht="29.85" customHeight="1" s="22">
      <c r="A207" s="34" t="n">
        <v>203</v>
      </c>
      <c r="B207" s="35" t="inlineStr">
        <is>
          <t>移行</t>
        </is>
      </c>
      <c r="C207" s="36" t="inlineStr">
        <is>
          <t>Migration Evaluator</t>
        </is>
      </c>
      <c r="D207" s="35" t="inlineStr">
        <is>
          <t>オンプレミス環境の使用状況を収集・分析し、AWSへ移行した後のコストを見積もって、移行の費用対効果(ビジネスケース)の作成を支援する(旧TSO Logic)</t>
        </is>
      </c>
      <c r="E207" s="37" t="inlineStr">
        <is>
          <t>移行するかどうかを判断するため、現状とAWS移行後のコストを比較したい</t>
        </is>
      </c>
      <c r="F207" s="38" t="inlineStr">
        <is>
          <t>★</t>
        </is>
      </c>
      <c r="G207" s="39" t="n"/>
    </row>
    <row r="208" ht="29.85" customHeight="1" s="22">
      <c r="A208" s="34" t="n">
        <v>204</v>
      </c>
      <c r="B208" s="35" t="inlineStr">
        <is>
          <t>ストレージ</t>
        </is>
      </c>
      <c r="C208" s="36" t="inlineStr">
        <is>
          <t>AWS Transfer Family</t>
        </is>
      </c>
      <c r="D208" s="35" t="inlineStr">
        <is>
          <t>SFTP・FTPS・FTP(およびAS2)で、S3やEFSに直接ファイルを転送できるフルマネージドのファイル転送サービス</t>
        </is>
      </c>
      <c r="E208" s="37" t="inlineStr">
        <is>
          <t>取引先が使っている既存のSFTP/FTPの手順を変えずに、ファイルの保存先をS3にしたい</t>
        </is>
      </c>
      <c r="F208" s="38" t="inlineStr">
        <is>
          <t>★★</t>
        </is>
      </c>
      <c r="G208" s="39" t="n"/>
    </row>
    <row r="209" ht="29.85" customHeight="1" s="22">
      <c r="A209" s="34" t="n">
        <v>205</v>
      </c>
      <c r="B209" s="35" t="inlineStr">
        <is>
          <t>コンピューティング</t>
        </is>
      </c>
      <c r="C209" s="36" t="inlineStr">
        <is>
          <t>AWS Outposts</t>
        </is>
      </c>
      <c r="D209" s="35" t="inlineStr">
        <is>
          <t>AWSが提供・管理するハードウェア(ラック・サーバー)を自社データセンターに設置し、EC2・EBS・RDSなどをAWSと同じAPI・ツールでオンプレミスで利用できるハイブリッドサービス</t>
        </is>
      </c>
      <c r="E209" s="37" t="inlineStr">
        <is>
          <t>データをオンプレミスに置く必要がある・オンプレミスのシステムと超低レイテンシで連携したいが、AWSと同じ運用をしたい</t>
        </is>
      </c>
      <c r="F209" s="38" t="inlineStr">
        <is>
          <t>★</t>
        </is>
      </c>
      <c r="G209" s="39" t="n"/>
    </row>
    <row r="210" ht="29.85" customHeight="1" s="22">
      <c r="A210" s="34" t="n">
        <v>206</v>
      </c>
      <c r="B210" s="35" t="inlineStr">
        <is>
          <t>移行</t>
        </is>
      </c>
      <c r="C210" s="36" t="inlineStr">
        <is>
          <t>AWS Elastic Disaster Recovery(DRS)</t>
        </is>
      </c>
      <c r="D210" s="35" t="inlineStr">
        <is>
          <t>オンプレミスや他のクラウド、AWS上のサーバーをブロックレベルで継続的にAWSへレプリケートし、災害時に数分でAWS上に復旧(フェイルオーバー)できる。平常時は低コストなステージング環境だけを維持する(旧CloudEndure Disaster Recovery)</t>
        </is>
      </c>
      <c r="E210" s="37" t="inlineStr">
        <is>
          <t>サーバーのDRを低コストで、秒単位のRPO・分単位のRTOで実現したい</t>
        </is>
      </c>
      <c r="F210" s="38" t="inlineStr">
        <is>
          <t>★★</t>
        </is>
      </c>
      <c r="G210" s="39" t="n"/>
    </row>
    <row r="211" ht="29.85" customHeight="1" s="22">
      <c r="A211" s="34" t="n">
        <v>207</v>
      </c>
      <c r="B211" s="35" t="inlineStr">
        <is>
          <t>アプリケーション統合</t>
        </is>
      </c>
      <c r="C211" s="36" t="inlineStr">
        <is>
          <t>Amazon SES</t>
        </is>
      </c>
      <c r="D211" s="35" t="inlineStr">
        <is>
          <t>Simple Email Service。アプリケーションからメールを大量に送信(および受信)できるサービス。通知メール・マーケティングメールなどに使う。SPF・DKIM・DMARCによる送信ドメイン認証で到達率を高められる</t>
        </is>
      </c>
      <c r="E211" s="37" t="inlineStr">
        <is>
          <t>アプリから顧客へのメールを大量に送りたい(件名・本文を自由に作れる。SNSのメール通知は運用者向けの簡易な通知)</t>
        </is>
      </c>
      <c r="F211" s="38" t="inlineStr">
        <is>
          <t>★</t>
        </is>
      </c>
      <c r="G211" s="39" t="n"/>
    </row>
    <row r="212" ht="29.85" customHeight="1" s="22">
      <c r="A212" s="34" t="n">
        <v>208</v>
      </c>
      <c r="B212" s="35" t="inlineStr">
        <is>
          <t>アプリケーション統合</t>
        </is>
      </c>
      <c r="C212" s="36" t="inlineStr">
        <is>
          <t>Amazon AppFlow</t>
        </is>
      </c>
      <c r="D212" s="35" t="inlineStr">
        <is>
          <t>Salesforce・SAP・Slack・ZendeskなどのSaaSとS3・Redshiftなどの間で、コードを書かずにデータを双方向に転送できる。スケジュール・イベントでの実行やフィルタ・変換にも対応</t>
        </is>
      </c>
      <c r="E212" s="37" t="inlineStr">
        <is>
          <t>SaaSのデータを定期的にS3やRedshiftへ取り込みたい(コード不要)</t>
        </is>
      </c>
      <c r="F212" s="38" t="inlineStr">
        <is>
          <t>★</t>
        </is>
      </c>
      <c r="G212" s="39" t="n"/>
    </row>
    <row r="213" ht="29.85" customHeight="1" s="22">
      <c r="A213" s="34" t="n">
        <v>209</v>
      </c>
      <c r="B213" s="35" t="inlineStr">
        <is>
          <t>分析</t>
        </is>
      </c>
      <c r="C213" s="36" t="inlineStr">
        <is>
          <t>AWS Data Exchange</t>
        </is>
      </c>
      <c r="D213" s="35" t="inlineStr">
        <is>
          <t>サードパーティが提供するデータセット(金融・気象・人口統計など)を検索・購読し、AWS上でそのまま利用できるデータ取引サービス</t>
        </is>
      </c>
      <c r="E213" s="37" t="inlineStr">
        <is>
          <t>外部の商用データを購読してS3などに取り込みたい</t>
        </is>
      </c>
      <c r="F213" s="38" t="inlineStr">
        <is>
          <t>★</t>
        </is>
      </c>
      <c r="G213" s="39" t="n"/>
    </row>
    <row r="214" ht="29.85" customHeight="1" s="22">
      <c r="A214" s="34" t="n">
        <v>210</v>
      </c>
      <c r="B214" s="35" t="inlineStr">
        <is>
          <t>分析</t>
        </is>
      </c>
      <c r="C214" s="36" t="inlineStr">
        <is>
          <t>Amazon Managed Service for Apache Flink</t>
        </is>
      </c>
      <c r="D214" s="35" t="inlineStr">
        <is>
          <t>旧Kinesis Data Analytics。Apache Flinkでストリーミングデータをリアルタイムに分析・加工する。SQL・Java・Pythonなどで処理を記述できる</t>
        </is>
      </c>
      <c r="E214" s="37" t="inlineStr">
        <is>
          <t>Kinesis Data Streams・MSKのデータをリアルタイムに集計・異常検知したい</t>
        </is>
      </c>
      <c r="F214" s="38" t="inlineStr">
        <is>
          <t>★</t>
        </is>
      </c>
      <c r="G214" s="39" t="n"/>
    </row>
    <row r="215" ht="29.85" customHeight="1" s="22">
      <c r="A215" s="34" t="n">
        <v>211</v>
      </c>
      <c r="B215" s="35" t="inlineStr">
        <is>
          <t>管理・監視</t>
        </is>
      </c>
      <c r="C215" s="36" t="inlineStr">
        <is>
          <t>AWS CDK</t>
        </is>
      </c>
      <c r="D215" s="35" t="inlineStr">
        <is>
          <t>Cloud Development Kit。Python・TypeScript・Javaなどのプログラミング言語でインフラを定義できるフレームワーク。CloudFormationテンプレートに変換されてデプロイされる</t>
        </is>
      </c>
      <c r="E215" s="37" t="inlineStr">
        <is>
          <t>使い慣れたプログラミング言語でIaCを書きたい</t>
        </is>
      </c>
      <c r="F215" s="38" t="inlineStr">
        <is>
          <t>★</t>
        </is>
      </c>
      <c r="G215" s="39" t="n"/>
    </row>
    <row r="216" ht="29.85" customHeight="1" s="22">
      <c r="A216" s="34" t="n">
        <v>212</v>
      </c>
      <c r="B216" s="35" t="inlineStr">
        <is>
          <t>管理・監視</t>
        </is>
      </c>
      <c r="C216" s="36" t="inlineStr">
        <is>
          <t>AWS SAM</t>
        </is>
      </c>
      <c r="D216" s="35" t="inlineStr">
        <is>
          <t>Serverless Application Model。Lambda・API Gateway・DynamoDBなどのサーバーレスアプリを簡潔なテンプレートで定義・ビルド・デプロイできる。CloudFormationの拡張で、ローカルでのテストも可能</t>
        </is>
      </c>
      <c r="E216" s="37" t="inlineStr">
        <is>
          <t>サーバーレスアプリを簡潔に定義してデプロイしたい</t>
        </is>
      </c>
      <c r="F216" s="38" t="inlineStr">
        <is>
          <t>★</t>
        </is>
      </c>
      <c r="G216" s="39" t="n"/>
    </row>
    <row r="217" ht="29.85" customHeight="1" s="22">
      <c r="A217" s="34" t="n">
        <v>213</v>
      </c>
      <c r="B217" s="35" t="inlineStr">
        <is>
          <t>管理・監視</t>
        </is>
      </c>
      <c r="C217" s="36" t="inlineStr">
        <is>
          <t>AWS Launch Wizard</t>
        </is>
      </c>
      <c r="D217" s="35" t="inlineStr">
        <is>
          <t>SQL Server・SAPなどの商用アプリケーションを、ガイドに沿って要件を入力するだけでベストプラクティスに沿った構成でデプロイできる</t>
        </is>
      </c>
      <c r="E217" s="37" t="inlineStr">
        <is>
          <t>SQL ServerやSAPの環境をベストプラクティス通りに素早く構築したい</t>
        </is>
      </c>
      <c r="F217" s="38" t="inlineStr">
        <is>
          <t>★</t>
        </is>
      </c>
      <c r="G217" s="39" t="n"/>
    </row>
    <row r="218" ht="29.85" customHeight="1" s="22">
      <c r="A218" s="34" t="n">
        <v>214</v>
      </c>
      <c r="B218" s="35" t="inlineStr">
        <is>
          <t>管理・監視</t>
        </is>
      </c>
      <c r="C218" s="36" t="inlineStr">
        <is>
          <t>AWS CodeCommit</t>
        </is>
      </c>
      <c r="D218" s="35" t="inlineStr">
        <is>
          <t>フルマネージドのプライベートGitリポジトリ。2024年に新規受付を停止したが、2025年11月に新規受付を再開した</t>
        </is>
      </c>
      <c r="E218" s="37" t="inlineStr">
        <is>
          <t>AWS上でソースコードをGitで安全に管理したい</t>
        </is>
      </c>
      <c r="F218" s="38" t="inlineStr">
        <is>
          <t>★</t>
        </is>
      </c>
      <c r="G218" s="39" t="n"/>
    </row>
    <row r="219" ht="29.85" customHeight="1" s="22">
      <c r="A219" s="34" t="n">
        <v>215</v>
      </c>
      <c r="B219" s="35" t="inlineStr">
        <is>
          <t>管理・監視</t>
        </is>
      </c>
      <c r="C219" s="36" t="inlineStr">
        <is>
          <t>AWS CodeBuild</t>
        </is>
      </c>
      <c r="D219" s="35" t="inlineStr">
        <is>
          <t>ソースコードのコンパイル・テスト実行・成果物(アーティファクト)の作成を行うフルマネージドのビルドサービス。ビルドサーバーの管理が不要で、使った分だけの従量課金</t>
        </is>
      </c>
      <c r="E219" s="37" t="inlineStr">
        <is>
          <t>ビルドサーバーを持たずにビルド・テストを自動化したい</t>
        </is>
      </c>
      <c r="F219" s="38" t="inlineStr">
        <is>
          <t>★</t>
        </is>
      </c>
      <c r="G219" s="39" t="n"/>
    </row>
    <row r="220" ht="29.85" customHeight="1" s="22">
      <c r="A220" s="34" t="n">
        <v>216</v>
      </c>
      <c r="B220" s="35" t="inlineStr">
        <is>
          <t>管理・監視</t>
        </is>
      </c>
      <c r="C220" s="36" t="inlineStr">
        <is>
          <t>AWS CodeDeploy</t>
        </is>
      </c>
      <c r="D220" s="35" t="inlineStr">
        <is>
          <t>EC2・オンプレミスサーバー・Lambda・ECSへのアプリケーションのデプロイを自動化する。インプレース方式・Blue/Green方式に対応し、失敗時は自動ロールバックできる</t>
        </is>
      </c>
      <c r="E220" s="37" t="inlineStr">
        <is>
          <t>デプロイの自動化。Blue/Greenデプロイで停止時間を減らす</t>
        </is>
      </c>
      <c r="F220" s="38" t="inlineStr">
        <is>
          <t>★★</t>
        </is>
      </c>
      <c r="G220" s="39" t="n"/>
    </row>
    <row r="221" ht="29.85" customHeight="1" s="22">
      <c r="A221" s="34" t="n">
        <v>217</v>
      </c>
      <c r="B221" s="35" t="inlineStr">
        <is>
          <t>管理・監視</t>
        </is>
      </c>
      <c r="C221" s="36" t="inlineStr">
        <is>
          <t>AWS CodePipeline</t>
        </is>
      </c>
      <c r="D221" s="35" t="inlineStr">
        <is>
          <t>ソース取得→ビルド→テスト→デプロイの一連のリリース工程を自動化するCI/CDパイプライン。CodeCommit・CodeBuild・CodeDeployなどを連携させる</t>
        </is>
      </c>
      <c r="E221" s="37" t="inlineStr">
        <is>
          <t>コードの変更から本番デプロイまでのリリース工程を自動化したい</t>
        </is>
      </c>
      <c r="F221" s="38" t="inlineStr">
        <is>
          <t>★</t>
        </is>
      </c>
      <c r="G221" s="39" t="n"/>
    </row>
    <row r="222" ht="29.85" customHeight="1" s="22">
      <c r="A222" s="34" t="n">
        <v>218</v>
      </c>
      <c r="B222" s="35" t="inlineStr">
        <is>
          <t>管理・監視</t>
        </is>
      </c>
      <c r="C222" s="36" t="inlineStr">
        <is>
          <t>AWS Toolkit(IDE Toolkits)</t>
        </is>
      </c>
      <c r="D222" s="35" t="inlineStr">
        <is>
          <t>VS Code・JetBrains・Visual StudioなどのIDEに追加する拡張機能。IDE上からAWSリソースの操作や、Lambdaなどのデバッグ・デプロイができる</t>
        </is>
      </c>
      <c r="E222" s="37" t="inlineStr">
        <is>
          <t>IDEから離れずにAWSリソースを操作・デプロイしたい</t>
        </is>
      </c>
      <c r="F222" s="38" t="inlineStr">
        <is>
          <t>★</t>
        </is>
      </c>
      <c r="G222" s="39" t="n"/>
    </row>
    <row r="223" ht="29.85" customHeight="1" s="22">
      <c r="A223" s="34" t="n">
        <v>219</v>
      </c>
      <c r="B223" s="35" t="inlineStr">
        <is>
          <t>管理・監視</t>
        </is>
      </c>
      <c r="C223" s="36" t="inlineStr">
        <is>
          <t>Amazon Q Developer</t>
        </is>
      </c>
      <c r="D223" s="35" t="inlineStr">
        <is>
          <t>生成AIを活用した開発支援アシスタント。コードの生成・補完・解説、デバッグ、セキュリティ脆弱性のスキャン、AWSに関する質問への回答をIDEやコンソールで行える</t>
        </is>
      </c>
      <c r="E223" s="37" t="inlineStr">
        <is>
          <t>生成AIでコーディングやAWSの運用作業を支援したい</t>
        </is>
      </c>
      <c r="F223" s="38" t="inlineStr">
        <is>
          <t>★</t>
        </is>
      </c>
      <c r="G223" s="39" t="n"/>
    </row>
    <row r="224" ht="29.85" customHeight="1" s="22">
      <c r="A224" s="34" t="n">
        <v>220</v>
      </c>
      <c r="B224" s="35" t="inlineStr">
        <is>
          <t>コンピューティング</t>
        </is>
      </c>
      <c r="C224" s="36" t="inlineStr">
        <is>
          <t>Amazon ECR</t>
        </is>
      </c>
      <c r="D224" s="35" t="inlineStr">
        <is>
          <t>Elastic Container Registry。コンテナイメージを保存・管理・配布するフルマネージドのレジストリ。イメージの脆弱性スキャンやIAMによるアクセス制御に対応</t>
        </is>
      </c>
      <c r="E224" s="37" t="inlineStr">
        <is>
          <t>ECS・EKSで使うコンテナイメージの保管場所</t>
        </is>
      </c>
      <c r="F224" s="38" t="inlineStr">
        <is>
          <t>★★</t>
        </is>
      </c>
      <c r="G224" s="39" t="n"/>
    </row>
    <row r="225" ht="29.85" customHeight="1" s="22">
      <c r="A225" s="34" t="n">
        <v>221</v>
      </c>
      <c r="B225" s="35" t="inlineStr">
        <is>
          <t>コンピューティング</t>
        </is>
      </c>
      <c r="C225" s="36" t="inlineStr">
        <is>
          <t>Amazon ECS Anywhere</t>
        </is>
      </c>
      <c r="D225" s="35" t="inlineStr">
        <is>
          <t>ECSの管理機能を使って、オンプレミスのサーバーや仮想マシン上でもコンテナを実行・管理できる機能</t>
        </is>
      </c>
      <c r="E225" s="37" t="inlineStr">
        <is>
          <t>オンプレミスのコンテナもECSで一元管理したい</t>
        </is>
      </c>
      <c r="F225" s="38" t="inlineStr">
        <is>
          <t>★</t>
        </is>
      </c>
      <c r="G225" s="39" t="n"/>
    </row>
    <row r="226" ht="29.85" customHeight="1" s="22">
      <c r="A226" s="34" t="n">
        <v>222</v>
      </c>
      <c r="B226" s="35" t="inlineStr">
        <is>
          <t>コンピューティング</t>
        </is>
      </c>
      <c r="C226" s="36" t="inlineStr">
        <is>
          <t>Amazon EKS Anywhere</t>
        </is>
      </c>
      <c r="D226" s="35" t="inlineStr">
        <is>
          <t>オンプレミス環境にKubernetesクラスターを構築・運用できるサービス。EKSと同じ操作感でオンプレミスでも利用できる</t>
        </is>
      </c>
      <c r="E226" s="37" t="inlineStr">
        <is>
          <t>オンプレミスでもEKSと同じ方法でKubernetesを運用したい</t>
        </is>
      </c>
      <c r="F226" s="38" t="inlineStr">
        <is>
          <t>★</t>
        </is>
      </c>
      <c r="G226" s="39" t="n"/>
    </row>
    <row r="227" ht="29.85" customHeight="1" s="22">
      <c r="A227" s="34" t="n">
        <v>223</v>
      </c>
      <c r="B227" s="35" t="inlineStr">
        <is>
          <t>コンピューティング</t>
        </is>
      </c>
      <c r="C227" s="36" t="inlineStr">
        <is>
          <t>Amazon EKS Distro(EKS-D)</t>
        </is>
      </c>
      <c r="D227" s="35" t="inlineStr">
        <is>
          <t>AWSがEKSで使用しているKubernetesのディストリビューション(オープンソース)。自分の環境で同じバージョンのKubernetesを動かせる</t>
        </is>
      </c>
      <c r="E227" s="37" t="inlineStr">
        <is>
          <t>EKSと同じKubernetesを自前の環境で使いたい</t>
        </is>
      </c>
      <c r="F227" s="38" t="inlineStr">
        <is>
          <t>★</t>
        </is>
      </c>
      <c r="G227" s="39" t="n"/>
    </row>
    <row r="228" ht="29.85" customHeight="1" s="22">
      <c r="A228" s="34" t="n">
        <v>224</v>
      </c>
      <c r="B228" s="35" t="inlineStr">
        <is>
          <t>管理・監視</t>
        </is>
      </c>
      <c r="C228" s="36" t="inlineStr">
        <is>
          <t>Amazon CodeGuru</t>
        </is>
      </c>
      <c r="D228" s="35" t="inlineStr">
        <is>
          <t>機械学習でコードをレビューし、バグ・セキュリティ上の問題・パフォーマンスの改善点を提案する。Reviewer(コードレビュー)とProfiler(実行時のパフォーマンス分析)で構成。Reviewerは2025年11月7日から新規のリポジトリ関連付けを停止(既存のみ利用可)</t>
        </is>
      </c>
      <c r="E228" s="37" t="inlineStr">
        <is>
          <t>コードの品質やアプリの性能のボトルネックを機械学習で見つけたい</t>
        </is>
      </c>
      <c r="F228" s="38" t="inlineStr">
        <is>
          <t>★</t>
        </is>
      </c>
      <c r="G228" s="39" t="n"/>
    </row>
    <row r="229" ht="29.85" customHeight="1" s="22">
      <c r="A229" s="34" t="n">
        <v>225</v>
      </c>
      <c r="B229" s="35" t="inlineStr">
        <is>
          <t>管理・監視</t>
        </is>
      </c>
      <c r="C229" s="36" t="inlineStr">
        <is>
          <t>AWS Fault Injection Service(FIS)</t>
        </is>
      </c>
      <c r="D229" s="35" t="inlineStr">
        <is>
          <t>旧Fault Injection Simulator。EC2の停止やネットワーク遅延などの障害を意図的に発生させ、システムの耐障害性を検証するカオスエンジニアリングのサービス</t>
        </is>
      </c>
      <c r="E229" s="37" t="inlineStr">
        <is>
          <t>障害を意図的に起こして耐障害性を本番前に検証したい</t>
        </is>
      </c>
      <c r="F229" s="38" t="inlineStr">
        <is>
          <t>★</t>
        </is>
      </c>
      <c r="G229" s="39" t="n"/>
    </row>
    <row r="230" ht="29.85" customHeight="1" s="22">
      <c r="A230" s="34" t="n">
        <v>226</v>
      </c>
      <c r="B230" s="35" t="inlineStr">
        <is>
          <t>管理・監視</t>
        </is>
      </c>
      <c r="C230" s="36" t="inlineStr">
        <is>
          <t>AWS CodeArtifact</t>
        </is>
      </c>
      <c r="D230" s="35" t="inlineStr">
        <is>
          <t>npm・Maven・pip・NuGetなどのソフトウェアパッケージを保存・共有できるマネージドのアーティファクトリポジトリ。外部の公開リポジトリとも連携できる</t>
        </is>
      </c>
      <c r="E230" s="37" t="inlineStr">
        <is>
          <t>社内で使う依存ライブラリを一元管理したい</t>
        </is>
      </c>
      <c r="F230" s="38" t="inlineStr">
        <is>
          <t>★</t>
        </is>
      </c>
      <c r="G230" s="39" t="n"/>
    </row>
    <row r="231" ht="29.85" customHeight="1" s="22">
      <c r="A231" s="34" t="n">
        <v>227</v>
      </c>
      <c r="B231" s="35" t="inlineStr">
        <is>
          <t>セキュリティ</t>
        </is>
      </c>
      <c r="C231" s="36" t="inlineStr">
        <is>
          <t>AWS Signer</t>
        </is>
      </c>
      <c r="D231" s="35" t="inlineStr">
        <is>
          <t>コードにデジタル署名を付けるサービス。Lambda関数のコードやコンテナイメージが改ざんされていない、信頼できるものであることを保証できる</t>
        </is>
      </c>
      <c r="E231" s="37" t="inlineStr">
        <is>
          <t>署名済みのコードだけをLambdaにデプロイさせたい</t>
        </is>
      </c>
      <c r="F231" s="38" t="inlineStr">
        <is>
          <t>★</t>
        </is>
      </c>
      <c r="G231" s="39" t="n"/>
    </row>
    <row r="232" ht="29.85" customHeight="1" s="22">
      <c r="A232" s="34" t="n">
        <v>228</v>
      </c>
      <c r="B232" s="35" t="inlineStr">
        <is>
          <t>セキュリティ</t>
        </is>
      </c>
      <c r="C232" s="36" t="inlineStr">
        <is>
          <t>AWS Encryption SDK</t>
        </is>
      </c>
      <c r="D232" s="35" t="inlineStr">
        <is>
          <t>アプリケーション内でクライアント側の暗号化・復号を行うためのライブラリ。KMSなどと連携して鍵を管理し、エンベロープ暗号化を簡単に実装できる</t>
        </is>
      </c>
      <c r="E232" s="37" t="inlineStr">
        <is>
          <t>データをAWSに送る前にアプリ側で暗号化したい</t>
        </is>
      </c>
      <c r="F232" s="38" t="inlineStr">
        <is>
          <t>★</t>
        </is>
      </c>
      <c r="G232" s="39" t="n"/>
    </row>
    <row r="233" ht="29.85" customHeight="1" s="22">
      <c r="A233" s="34" t="n">
        <v>229</v>
      </c>
      <c r="B233" s="35" t="inlineStr">
        <is>
          <t>管理・監視</t>
        </is>
      </c>
      <c r="C233" s="36" t="inlineStr">
        <is>
          <t>AWS Device Farm</t>
        </is>
      </c>
      <c r="D233" s="35" t="inlineStr">
        <is>
          <t>iOS・Androidの実機やデスクトップブラウザでアプリやWebサイトを自動・手動でテストできる。多数のデバイスで並行してテストし、動画やログで結果を確認できる</t>
        </is>
      </c>
      <c r="E233" s="37" t="inlineStr">
        <is>
          <t>多数の実機でモバイルアプリのテストを自動化したい</t>
        </is>
      </c>
      <c r="F233" s="38" t="inlineStr">
        <is>
          <t>★</t>
        </is>
      </c>
      <c r="G233" s="39" t="n"/>
    </row>
    <row r="234" ht="29.85" customHeight="1" s="22">
      <c r="A234" s="34" t="n">
        <v>230</v>
      </c>
      <c r="B234" s="35" t="inlineStr">
        <is>
          <t>アプリケーション統合</t>
        </is>
      </c>
      <c r="C234" s="36" t="inlineStr">
        <is>
          <t>Amazon Pinpoint</t>
        </is>
      </c>
      <c r="D234" s="35" t="inlineStr">
        <is>
          <t>メール・SMS・プッシュ通知などで、ユーザーの属性・行動のセグメントに応じたマーケティング施策を実施・分析するサービス。2025年5月20日に新規受付を停止し、2026年10月30日でサポート終了(SMS・プッシュ通知などはAWS End User Messaging、メールはSESへ移行)</t>
        </is>
      </c>
      <c r="E234" s="37" t="inlineStr">
        <is>
          <t>セグメント別のマーケティングメッセージ配信と効果分析</t>
        </is>
      </c>
      <c r="F234" s="38" t="inlineStr">
        <is>
          <t>★</t>
        </is>
      </c>
      <c r="G234" s="39" t="n"/>
    </row>
    <row r="235" ht="29.85" customHeight="1" s="22">
      <c r="A235" s="34" t="n">
        <v>231</v>
      </c>
      <c r="B235" s="35" t="inlineStr">
        <is>
          <t>設計原則</t>
        </is>
      </c>
      <c r="C235" s="36" t="inlineStr">
        <is>
          <t>IaC(Infrastructure as Code)</t>
        </is>
      </c>
      <c r="D235" s="35" t="inlineStr">
        <is>
          <t>インフラの構成をコードで定義して自動構築する考え方。同じ環境を何度でも再現でき、バージョン管理・レビュー・ロールバックが容易になり、手作業のミスを減らせる</t>
        </is>
      </c>
      <c r="E235" s="37" t="inlineStr">
        <is>
          <t>開発・検証・本番の環境差異をなくし、同じ構成を繰り返し構築したい</t>
        </is>
      </c>
      <c r="F235" s="38" t="inlineStr">
        <is>
          <t>★★</t>
        </is>
      </c>
      <c r="G235" s="39" t="n"/>
    </row>
  </sheetData>
  <autoFilter ref="A4:G235"/>
  <conditionalFormatting sqref="A5:G235">
    <cfRule type="expression" rank="0" priority="2" equalAverage="0" aboveAverage="0" dxfId="6" text="" percent="0" bottom="0">
      <formula>$F5="★★★"</formula>
    </cfRule>
  </conditionalFormatting>
  <dataValidations count="1">
    <dataValidation sqref="G5:G235" showDropDown="0" showInputMessage="0" showErrorMessage="0" allowBlank="1" type="list" errorStyle="stop" operator="between">
      <formula1>"◎ 説明できる,○ なんとなく,△ 要復習"</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21" min="1" max="1"/>
    <col width="12" customWidth="1" style="21" min="2" max="2"/>
    <col width="10" customWidth="1" style="21" min="3" max="3"/>
    <col width="13" customWidth="1" style="21" min="4" max="5"/>
    <col width="11" customWidth="1" style="21" min="6" max="6"/>
    <col width="16" customWidth="1" style="21" min="7" max="7"/>
  </cols>
  <sheetData>
    <row r="1" ht="16.15" customHeight="1" s="22">
      <c r="A1" s="40" t="inlineStr">
        <is>
          <t>分野別キーワード数と学習進捗</t>
        </is>
      </c>
    </row>
    <row r="2"/>
    <row r="3" ht="15" customHeight="1" s="22">
      <c r="A3" s="41" t="inlineStr">
        <is>
          <t>分野</t>
        </is>
      </c>
      <c r="B3" s="41" t="inlineStr">
        <is>
          <t>キーワード数</t>
        </is>
      </c>
      <c r="C3" s="41" t="inlineStr">
        <is>
          <t>うち★★★</t>
        </is>
      </c>
      <c r="D3" s="41" t="inlineStr">
        <is>
          <t>◎ 説明できる</t>
        </is>
      </c>
      <c r="E3" s="41" t="inlineStr">
        <is>
          <t>○ なんとなく</t>
        </is>
      </c>
      <c r="F3" s="41" t="inlineStr">
        <is>
          <t>△ 要復習</t>
        </is>
      </c>
      <c r="G3" s="41" t="inlineStr">
        <is>
          <t>習得率(◎の割合)</t>
        </is>
      </c>
    </row>
    <row r="4" ht="15" customHeight="1" s="22">
      <c r="A4" s="42" t="inlineStr">
        <is>
          <t>コンピューティング</t>
        </is>
      </c>
      <c r="B4" s="43">
        <f>COUNTIF(キーワード一覧!$B$5:$B$235,A4)</f>
        <v/>
      </c>
      <c r="C4" s="43">
        <f>COUNTIFS(キーワード一覧!$B$5:$B$235,A4,キーワード一覧!$F$5:$F$235,"★★★")</f>
        <v/>
      </c>
      <c r="D4" s="43">
        <f>COUNTIFS(キーワード一覧!$B$5:$B$235,A4,キーワード一覧!$G$5:$G$235,"◎*")</f>
        <v/>
      </c>
      <c r="E4" s="43">
        <f>COUNTIFS(キーワード一覧!$B$5:$B$235,A4,キーワード一覧!$G$5:$G$235,"○*")</f>
        <v/>
      </c>
      <c r="F4" s="43">
        <f>COUNTIFS(キーワード一覧!$B$5:$B$235,A4,キーワード一覧!$G$5:$G$235,"△*")</f>
        <v/>
      </c>
      <c r="G4" s="44">
        <f>IF(B4=0,0,D4/B4)</f>
        <v/>
      </c>
    </row>
    <row r="5" ht="15" customHeight="1" s="22">
      <c r="A5" s="42" t="inlineStr">
        <is>
          <t>ストレージ</t>
        </is>
      </c>
      <c r="B5" s="43">
        <f>COUNTIF(キーワード一覧!$B$5:$B$235,A5)</f>
        <v/>
      </c>
      <c r="C5" s="43">
        <f>COUNTIFS(キーワード一覧!$B$5:$B$235,A5,キーワード一覧!$F$5:$F$235,"★★★")</f>
        <v/>
      </c>
      <c r="D5" s="43">
        <f>COUNTIFS(キーワード一覧!$B$5:$B$235,A5,キーワード一覧!$G$5:$G$235,"◎*")</f>
        <v/>
      </c>
      <c r="E5" s="43">
        <f>COUNTIFS(キーワード一覧!$B$5:$B$235,A5,キーワード一覧!$G$5:$G$235,"○*")</f>
        <v/>
      </c>
      <c r="F5" s="43">
        <f>COUNTIFS(キーワード一覧!$B$5:$B$235,A5,キーワード一覧!$G$5:$G$235,"△*")</f>
        <v/>
      </c>
      <c r="G5" s="44">
        <f>IF(B5=0,0,D5/B5)</f>
        <v/>
      </c>
    </row>
    <row r="6" ht="15" customHeight="1" s="22">
      <c r="A6" s="42" t="inlineStr">
        <is>
          <t>データベース</t>
        </is>
      </c>
      <c r="B6" s="43">
        <f>COUNTIF(キーワード一覧!$B$5:$B$235,A6)</f>
        <v/>
      </c>
      <c r="C6" s="43">
        <f>COUNTIFS(キーワード一覧!$B$5:$B$235,A6,キーワード一覧!$F$5:$F$235,"★★★")</f>
        <v/>
      </c>
      <c r="D6" s="43">
        <f>COUNTIFS(キーワード一覧!$B$5:$B$235,A6,キーワード一覧!$G$5:$G$235,"◎*")</f>
        <v/>
      </c>
      <c r="E6" s="43">
        <f>COUNTIFS(キーワード一覧!$B$5:$B$235,A6,キーワード一覧!$G$5:$G$235,"○*")</f>
        <v/>
      </c>
      <c r="F6" s="43">
        <f>COUNTIFS(キーワード一覧!$B$5:$B$235,A6,キーワード一覧!$G$5:$G$235,"△*")</f>
        <v/>
      </c>
      <c r="G6" s="44">
        <f>IF(B6=0,0,D6/B6)</f>
        <v/>
      </c>
    </row>
    <row r="7" ht="15" customHeight="1" s="22">
      <c r="A7" s="42" t="inlineStr">
        <is>
          <t>ネットワーク</t>
        </is>
      </c>
      <c r="B7" s="43">
        <f>COUNTIF(キーワード一覧!$B$5:$B$235,A7)</f>
        <v/>
      </c>
      <c r="C7" s="43">
        <f>COUNTIFS(キーワード一覧!$B$5:$B$235,A7,キーワード一覧!$F$5:$F$235,"★★★")</f>
        <v/>
      </c>
      <c r="D7" s="43">
        <f>COUNTIFS(キーワード一覧!$B$5:$B$235,A7,キーワード一覧!$G$5:$G$235,"◎*")</f>
        <v/>
      </c>
      <c r="E7" s="43">
        <f>COUNTIFS(キーワード一覧!$B$5:$B$235,A7,キーワード一覧!$G$5:$G$235,"○*")</f>
        <v/>
      </c>
      <c r="F7" s="43">
        <f>COUNTIFS(キーワード一覧!$B$5:$B$235,A7,キーワード一覧!$G$5:$G$235,"△*")</f>
        <v/>
      </c>
      <c r="G7" s="44">
        <f>IF(B7=0,0,D7/B7)</f>
        <v/>
      </c>
    </row>
    <row r="8" ht="15" customHeight="1" s="22">
      <c r="A8" s="42" t="inlineStr">
        <is>
          <t>セキュリティ</t>
        </is>
      </c>
      <c r="B8" s="43">
        <f>COUNTIF(キーワード一覧!$B$5:$B$235,A8)</f>
        <v/>
      </c>
      <c r="C8" s="43">
        <f>COUNTIFS(キーワード一覧!$B$5:$B$235,A8,キーワード一覧!$F$5:$F$235,"★★★")</f>
        <v/>
      </c>
      <c r="D8" s="43">
        <f>COUNTIFS(キーワード一覧!$B$5:$B$235,A8,キーワード一覧!$G$5:$G$235,"◎*")</f>
        <v/>
      </c>
      <c r="E8" s="43">
        <f>COUNTIFS(キーワード一覧!$B$5:$B$235,A8,キーワード一覧!$G$5:$G$235,"○*")</f>
        <v/>
      </c>
      <c r="F8" s="43">
        <f>COUNTIFS(キーワード一覧!$B$5:$B$235,A8,キーワード一覧!$G$5:$G$235,"△*")</f>
        <v/>
      </c>
      <c r="G8" s="44">
        <f>IF(B8=0,0,D8/B8)</f>
        <v/>
      </c>
    </row>
    <row r="9" ht="15" customHeight="1" s="22">
      <c r="A9" s="42" t="inlineStr">
        <is>
          <t>アプリケーション統合</t>
        </is>
      </c>
      <c r="B9" s="43">
        <f>COUNTIF(キーワード一覧!$B$5:$B$235,A9)</f>
        <v/>
      </c>
      <c r="C9" s="43">
        <f>COUNTIFS(キーワード一覧!$B$5:$B$235,A9,キーワード一覧!$F$5:$F$235,"★★★")</f>
        <v/>
      </c>
      <c r="D9" s="43">
        <f>COUNTIFS(キーワード一覧!$B$5:$B$235,A9,キーワード一覧!$G$5:$G$235,"◎*")</f>
        <v/>
      </c>
      <c r="E9" s="43">
        <f>COUNTIFS(キーワード一覧!$B$5:$B$235,A9,キーワード一覧!$G$5:$G$235,"○*")</f>
        <v/>
      </c>
      <c r="F9" s="43">
        <f>COUNTIFS(キーワード一覧!$B$5:$B$235,A9,キーワード一覧!$G$5:$G$235,"△*")</f>
        <v/>
      </c>
      <c r="G9" s="44">
        <f>IF(B9=0,0,D9/B9)</f>
        <v/>
      </c>
    </row>
    <row r="10" ht="15" customHeight="1" s="22">
      <c r="A10" s="42" t="inlineStr">
        <is>
          <t>分析</t>
        </is>
      </c>
      <c r="B10" s="43">
        <f>COUNTIF(キーワード一覧!$B$5:$B$235,A10)</f>
        <v/>
      </c>
      <c r="C10" s="43">
        <f>COUNTIFS(キーワード一覧!$B$5:$B$235,A10,キーワード一覧!$F$5:$F$235,"★★★")</f>
        <v/>
      </c>
      <c r="D10" s="43">
        <f>COUNTIFS(キーワード一覧!$B$5:$B$235,A10,キーワード一覧!$G$5:$G$235,"◎*")</f>
        <v/>
      </c>
      <c r="E10" s="43">
        <f>COUNTIFS(キーワード一覧!$B$5:$B$235,A10,キーワード一覧!$G$5:$G$235,"○*")</f>
        <v/>
      </c>
      <c r="F10" s="43">
        <f>COUNTIFS(キーワード一覧!$B$5:$B$235,A10,キーワード一覧!$G$5:$G$235,"△*")</f>
        <v/>
      </c>
      <c r="G10" s="44">
        <f>IF(B10=0,0,D10/B10)</f>
        <v/>
      </c>
    </row>
    <row r="11" ht="15" customHeight="1" s="22">
      <c r="A11" s="42" t="inlineStr">
        <is>
          <t>管理・監視</t>
        </is>
      </c>
      <c r="B11" s="43">
        <f>COUNTIF(キーワード一覧!$B$5:$B$235,A11)</f>
        <v/>
      </c>
      <c r="C11" s="43">
        <f>COUNTIFS(キーワード一覧!$B$5:$B$235,A11,キーワード一覧!$F$5:$F$235,"★★★")</f>
        <v/>
      </c>
      <c r="D11" s="43">
        <f>COUNTIFS(キーワード一覧!$B$5:$B$235,A11,キーワード一覧!$G$5:$G$235,"◎*")</f>
        <v/>
      </c>
      <c r="E11" s="43">
        <f>COUNTIFS(キーワード一覧!$B$5:$B$235,A11,キーワード一覧!$G$5:$G$235,"○*")</f>
        <v/>
      </c>
      <c r="F11" s="43">
        <f>COUNTIFS(キーワード一覧!$B$5:$B$235,A11,キーワード一覧!$G$5:$G$235,"△*")</f>
        <v/>
      </c>
      <c r="G11" s="44">
        <f>IF(B11=0,0,D11/B11)</f>
        <v/>
      </c>
    </row>
    <row r="12" ht="15" customHeight="1" s="22">
      <c r="A12" s="42" t="inlineStr">
        <is>
          <t>移行</t>
        </is>
      </c>
      <c r="B12" s="43">
        <f>COUNTIF(キーワード一覧!$B$5:$B$235,A12)</f>
        <v/>
      </c>
      <c r="C12" s="43">
        <f>COUNTIFS(キーワード一覧!$B$5:$B$235,A12,キーワード一覧!$F$5:$F$235,"★★★")</f>
        <v/>
      </c>
      <c r="D12" s="43">
        <f>COUNTIFS(キーワード一覧!$B$5:$B$235,A12,キーワード一覧!$G$5:$G$235,"◎*")</f>
        <v/>
      </c>
      <c r="E12" s="43">
        <f>COUNTIFS(キーワード一覧!$B$5:$B$235,A12,キーワード一覧!$G$5:$G$235,"○*")</f>
        <v/>
      </c>
      <c r="F12" s="43">
        <f>COUNTIFS(キーワード一覧!$B$5:$B$235,A12,キーワード一覧!$G$5:$G$235,"△*")</f>
        <v/>
      </c>
      <c r="G12" s="44">
        <f>IF(B12=0,0,D12/B12)</f>
        <v/>
      </c>
    </row>
    <row r="13" ht="15" customHeight="1" s="22">
      <c r="A13" s="42" t="inlineStr">
        <is>
          <t>コスト管理</t>
        </is>
      </c>
      <c r="B13" s="43">
        <f>COUNTIF(キーワード一覧!$B$5:$B$235,A13)</f>
        <v/>
      </c>
      <c r="C13" s="43">
        <f>COUNTIFS(キーワード一覧!$B$5:$B$235,A13,キーワード一覧!$F$5:$F$235,"★★★")</f>
        <v/>
      </c>
      <c r="D13" s="43">
        <f>COUNTIFS(キーワード一覧!$B$5:$B$235,A13,キーワード一覧!$G$5:$G$235,"◎*")</f>
        <v/>
      </c>
      <c r="E13" s="43">
        <f>COUNTIFS(キーワード一覧!$B$5:$B$235,A13,キーワード一覧!$G$5:$G$235,"○*")</f>
        <v/>
      </c>
      <c r="F13" s="43">
        <f>COUNTIFS(キーワード一覧!$B$5:$B$235,A13,キーワード一覧!$G$5:$G$235,"△*")</f>
        <v/>
      </c>
      <c r="G13" s="44">
        <f>IF(B13=0,0,D13/B13)</f>
        <v/>
      </c>
    </row>
    <row r="14" ht="15" customHeight="1" s="22">
      <c r="A14" s="45" t="inlineStr">
        <is>
          <t>AI/ML</t>
        </is>
      </c>
      <c r="B14" s="43">
        <f>COUNTIF(キーワード一覧!$B$5:$B$235,A14)</f>
        <v/>
      </c>
      <c r="C14" s="43">
        <f>COUNTIFS(キーワード一覧!$B$5:$B$235,A14,キーワード一覧!$F$5:$F$235,"★★★")</f>
        <v/>
      </c>
      <c r="D14" s="43">
        <f>COUNTIFS(キーワード一覧!$B$5:$B$235,A14,キーワード一覧!$G$5:$G$235,"◎*")</f>
        <v/>
      </c>
      <c r="E14" s="43">
        <f>COUNTIFS(キーワード一覧!$B$5:$B$235,A14,キーワード一覧!$G$5:$G$235,"○*")</f>
        <v/>
      </c>
      <c r="F14" s="43">
        <f>COUNTIFS(キーワード一覧!$B$5:$B$235,A14,キーワード一覧!$G$5:$G$235,"△*")</f>
        <v/>
      </c>
      <c r="G14" s="44">
        <f>IF(B14=0,0,D14/B14)</f>
        <v/>
      </c>
    </row>
    <row r="15" ht="15" customHeight="1" s="22">
      <c r="A15" s="42" t="inlineStr">
        <is>
          <t>設計原則</t>
        </is>
      </c>
      <c r="B15" s="43">
        <f>COUNTIF(キーワード一覧!$B$5:$B$235,A15)</f>
        <v/>
      </c>
      <c r="C15" s="43">
        <f>COUNTIFS(キーワード一覧!$B$5:$B$235,A15,キーワード一覧!$F$5:$F$235,"★★★")</f>
        <v/>
      </c>
      <c r="D15" s="43">
        <f>COUNTIFS(キーワード一覧!$B$5:$B$235,A15,キーワード一覧!$G$5:$G$235,"◎*")</f>
        <v/>
      </c>
      <c r="E15" s="43">
        <f>COUNTIFS(キーワード一覧!$B$5:$B$235,A15,キーワード一覧!$G$5:$G$235,"○*")</f>
        <v/>
      </c>
      <c r="F15" s="43">
        <f>COUNTIFS(キーワード一覧!$B$5:$B$235,A15,キーワード一覧!$G$5:$G$235,"△*")</f>
        <v/>
      </c>
      <c r="G15" s="44">
        <f>IF(B15=0,0,D15/B15)</f>
        <v/>
      </c>
    </row>
    <row r="16" ht="15" customHeight="1" s="22">
      <c r="A16" s="46" t="inlineStr">
        <is>
          <t>合計</t>
        </is>
      </c>
      <c r="B16" s="47">
        <f>SUM(B4:B15)</f>
        <v/>
      </c>
      <c r="C16" s="47">
        <f>SUM(C4:C15)</f>
        <v/>
      </c>
      <c r="D16" s="47">
        <f>SUM(D4:D15)</f>
        <v/>
      </c>
      <c r="E16" s="47">
        <f>SUM(E4:E15)</f>
        <v/>
      </c>
      <c r="F16" s="47">
        <f>SUM(F4:F15)</f>
        <v/>
      </c>
      <c r="G16" s="48">
        <f>IF(B16=0,0,D16/B16)</f>
        <v/>
      </c>
    </row>
    <row r="17"/>
    <row r="18" ht="15" customHeight="1" s="22">
      <c r="A18" s="24" t="inlineStr">
        <is>
          <t>※ 数値は「キーワード一覧」シートの分野・重要度・理解度から自動計算されます。</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2026-10-13T00:18:01Z</dcterms:created>
  <dcterms:modified xsi:type="dcterms:W3CDTF">2026-10-29T23:14:09Z</dcterms:modified>
  <cp:revision>0</cp:revision>
</cp:coreProperties>
</file>