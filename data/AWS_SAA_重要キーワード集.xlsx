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キーワード一覧" sheetId="1" state="visible" r:id="rId1"/>
    <sheet name="分野別集計" sheetId="2" state="visible" r:id="rId2"/>
  </sheets>
  <definedNames>
    <definedName name="_xlnm._FilterDatabase" localSheetId="0" hidden="1">'キーワード一覧'!$A$4:$G$173</definedName>
    <definedName name="_xlnm.Print_Titles" localSheetId="0">'キーワード一覧'!$4:$4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C55A11"/>
      <sz val="10"/>
    </font>
    <font>
      <name val="Noto Sans CJK SC"/>
      <family val="2"/>
      <b val="1"/>
      <sz val="10"/>
    </font>
    <font>
      <name val="Noto Sans CJK SC"/>
      <family val="2"/>
      <b val="1"/>
      <sz val="13"/>
    </font>
  </fonts>
  <fills count="5">
    <fill>
      <patternFill/>
    </fill>
    <fill>
      <patternFill patternType="gray125"/>
    </fill>
    <fill>
      <patternFill patternType="solid">
        <fgColor rgb="FF232F3E"/>
        <bgColor rgb="FF333300"/>
      </patternFill>
    </fill>
    <fill>
      <patternFill patternType="solid">
        <fgColor rgb="FFFFF9DB"/>
        <bgColor rgb="FFFDEBDD"/>
      </patternFill>
    </fill>
    <fill>
      <patternFill patternType="solid">
        <fgColor rgb="FFEDEDED"/>
        <bgColor rgb="FFFDEBD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center" vertical="bottom"/>
    </xf>
    <xf numFmtId="164" fontId="12" fillId="4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center" vertical="bottom"/>
    </xf>
    <xf numFmtId="164" fontId="12" fillId="4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232F3E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FDEB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1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30" customWidth="1" style="21" min="3" max="3"/>
    <col width="60" customWidth="1" style="21" min="4" max="4"/>
    <col width="48" customWidth="1" style="21" min="5" max="5"/>
    <col width="8" customWidth="1" style="21" min="6" max="6"/>
    <col width="14" customWidth="1" style="21" min="7" max="7"/>
  </cols>
  <sheetData>
    <row r="1" ht="21.6" customHeight="1" s="22">
      <c r="A1" s="23" t="inlineStr">
        <is>
          <t>AWS 認定ソリューションアーキテクト – アソシエイト(SAA-C03)重要キーワード集</t>
        </is>
      </c>
    </row>
    <row r="2" ht="15" customHeight="1" s="22">
      <c r="A2" s="24" t="inlineStr">
        <is>
          <t>重要度:★★★=最頻出 / ★★=頻出 / ★=押さえておきたい。「理解度」列(黄色)はプルダウンで自分の習熟度を記録できます。</t>
        </is>
      </c>
    </row>
    <row r="4" ht="15" customHeight="1" s="22">
      <c r="A4" s="25" t="inlineStr">
        <is>
          <t>No</t>
        </is>
      </c>
      <c r="B4" s="26" t="inlineStr">
        <is>
          <t>分野</t>
        </is>
      </c>
      <c r="C4" s="26" t="inlineStr">
        <is>
          <t>キーワード</t>
        </is>
      </c>
      <c r="D4" s="26" t="inlineStr">
        <is>
          <t>概要</t>
        </is>
      </c>
      <c r="E4" s="26" t="inlineStr">
        <is>
          <t>試験での頻出ポイント</t>
        </is>
      </c>
      <c r="F4" s="26" t="inlineStr">
        <is>
          <t>重要度</t>
        </is>
      </c>
      <c r="G4" s="26" t="inlineStr">
        <is>
          <t>理解度</t>
        </is>
      </c>
    </row>
    <row r="5" ht="29.85" customHeight="1" s="22">
      <c r="A5" s="34" t="n">
        <v>1</v>
      </c>
      <c r="B5" s="35" t="inlineStr">
        <is>
          <t>コンピューティング</t>
        </is>
      </c>
      <c r="C5" s="36" t="inlineStr">
        <is>
          <t>Amazon EC2</t>
        </is>
      </c>
      <c r="D5" s="35" t="inlineStr">
        <is>
          <t>仮想サーバー。インスタンスタイプ(汎用/コンピューティング最適化/メモリ最適化/ストレージ最適化/高速コンピューティング)を選んで起動する</t>
        </is>
      </c>
      <c r="E5" s="35" t="inlineStr">
        <is>
          <t>ワークロードに合うインスタンスファミリーの選択</t>
        </is>
      </c>
      <c r="F5" s="38" t="inlineStr">
        <is>
          <t>★★★</t>
        </is>
      </c>
      <c r="G5" s="39" t="n"/>
    </row>
    <row r="6" ht="29.85" customHeight="1" s="22">
      <c r="A6" s="34" t="n">
        <v>2</v>
      </c>
      <c r="B6" s="35" t="inlineStr">
        <is>
          <t>コンピューティング</t>
        </is>
      </c>
      <c r="C6" s="32" t="inlineStr">
        <is>
          <t>オンデマンドインスタンス</t>
        </is>
      </c>
      <c r="D6" s="35" t="inlineStr">
        <is>
          <t>秒/時間単位課金で長期契約なし</t>
        </is>
      </c>
      <c r="E6" s="35" t="inlineStr">
        <is>
          <t>短期・予測不能・中断不可のワークロード</t>
        </is>
      </c>
      <c r="F6" s="38" t="inlineStr">
        <is>
          <t>★★★</t>
        </is>
      </c>
      <c r="G6" s="39" t="n"/>
    </row>
    <row r="7" ht="29.85" customHeight="1" s="22">
      <c r="A7" s="34" t="n">
        <v>3</v>
      </c>
      <c r="B7" s="35" t="inlineStr">
        <is>
          <t>コンピューティング</t>
        </is>
      </c>
      <c r="C7" s="32" t="inlineStr">
        <is>
          <t>リザーブドインスタンス(RI)</t>
        </is>
      </c>
      <c r="D7" s="37" t="inlineStr">
        <is>
          <t>1年/3年の利用を約束して大幅割引。スタンダードとコンバーティブルがある</t>
        </is>
      </c>
      <c r="E7" s="35" t="inlineStr">
        <is>
          <t>常時稼働の安定ワークロードのコスト削減</t>
        </is>
      </c>
      <c r="F7" s="38" t="inlineStr">
        <is>
          <t>★★★</t>
        </is>
      </c>
      <c r="G7" s="39" t="n"/>
    </row>
    <row r="8" ht="29.85" customHeight="1" s="22">
      <c r="A8" s="34" t="n">
        <v>4</v>
      </c>
      <c r="B8" s="35" t="inlineStr">
        <is>
          <t>コンピューティング</t>
        </is>
      </c>
      <c r="C8" s="36" t="inlineStr">
        <is>
          <t>Savings Plans</t>
        </is>
      </c>
      <c r="D8" s="37" t="inlineStr">
        <is>
          <t>1年/3年で時間あたりの利用額をコミットして割引。Compute Savings PlansはEC2・Fargate・Lambdaに適用</t>
        </is>
      </c>
      <c r="E8" s="35" t="inlineStr">
        <is>
          <t>インスタンスタイプやリージョンを変える可能性がある場合はRIより柔軟</t>
        </is>
      </c>
      <c r="F8" s="38" t="inlineStr">
        <is>
          <t>★★★</t>
        </is>
      </c>
      <c r="G8" s="39" t="n"/>
    </row>
    <row r="9" ht="29.85" customHeight="1" s="22">
      <c r="A9" s="34" t="n">
        <v>5</v>
      </c>
      <c r="B9" s="35" t="inlineStr">
        <is>
          <t>コンピューティング</t>
        </is>
      </c>
      <c r="C9" s="32" t="inlineStr">
        <is>
          <t>スポットインスタンス</t>
        </is>
      </c>
      <c r="D9" s="37" t="inlineStr">
        <is>
          <t>AWSの余剰キャパシティを最大90%割引で利用。2分前通知で中断されうる</t>
        </is>
      </c>
      <c r="E9" s="35" t="inlineStr">
        <is>
          <t>中断耐性のあるバッチ処理・ビッグデータ処理・CI。DBなど中断不可には不向き</t>
        </is>
      </c>
      <c r="F9" s="38" t="inlineStr">
        <is>
          <t>★★★</t>
        </is>
      </c>
      <c r="G9" s="39" t="n"/>
    </row>
    <row r="10" ht="29.85" customHeight="1" s="22">
      <c r="A10" s="34" t="n">
        <v>6</v>
      </c>
      <c r="B10" s="35" t="inlineStr">
        <is>
          <t>コンピューティング</t>
        </is>
      </c>
      <c r="C10" s="36" t="inlineStr">
        <is>
          <t>Dedicated Hosts / Dedicated Instances</t>
        </is>
      </c>
      <c r="D10" s="35" t="inlineStr">
        <is>
          <t>物理サーバーを専有。Dedicated Hostsはソケット・コア単位のライセンス持ち込み(BYOL)が可能</t>
        </is>
      </c>
      <c r="E10" s="35" t="inlineStr">
        <is>
          <t>ライセンス要件・コンプライアンス要件があるとき</t>
        </is>
      </c>
      <c r="F10" s="38" t="inlineStr">
        <is>
          <t>★★</t>
        </is>
      </c>
      <c r="G10" s="39" t="n"/>
    </row>
    <row r="11" ht="29.85" customHeight="1" s="22">
      <c r="A11" s="34" t="n">
        <v>7</v>
      </c>
      <c r="B11" s="35" t="inlineStr">
        <is>
          <t>コンピューティング</t>
        </is>
      </c>
      <c r="C11" s="32" t="inlineStr">
        <is>
          <t>プレイスメントグループ</t>
        </is>
      </c>
      <c r="D11" s="35" t="inlineStr">
        <is>
          <t>インスタンスの物理配置を制御。クラスター(低レイテンシ)、パーティション(Hadoop等の大規模分散)、スプレッド(障害分離・AZあたり最大7台)</t>
        </is>
      </c>
      <c r="E11" s="37" t="inlineStr">
        <is>
          <t>HPCはクラスター、重要少数インスタンスの分離はスプレッド</t>
        </is>
      </c>
      <c r="F11" s="38" t="inlineStr">
        <is>
          <t>★★</t>
        </is>
      </c>
      <c r="G11" s="39" t="n"/>
    </row>
    <row r="12" ht="29.85" customHeight="1" s="22">
      <c r="A12" s="34" t="n">
        <v>8</v>
      </c>
      <c r="B12" s="35" t="inlineStr">
        <is>
          <t>コンピューティング</t>
        </is>
      </c>
      <c r="C12" s="36" t="inlineStr">
        <is>
          <t>EC2 Auto Scaling</t>
        </is>
      </c>
      <c r="D12" s="35" t="inlineStr">
        <is>
          <t>需要に応じてインスタンス数を自動増減。起動テンプレート、ターゲット追跡/ステップ/スケジュール/予測スケーリング</t>
        </is>
      </c>
      <c r="E12" s="35" t="inlineStr">
        <is>
          <t>ヘルスチェックによる自動復旧、ELBとの組み合わせで高可用性</t>
        </is>
      </c>
      <c r="F12" s="38" t="inlineStr">
        <is>
          <t>★★★</t>
        </is>
      </c>
      <c r="G12" s="39" t="n"/>
    </row>
    <row r="13" ht="29.85" customHeight="1" s="22">
      <c r="A13" s="34" t="n">
        <v>9</v>
      </c>
      <c r="B13" s="35" t="inlineStr">
        <is>
          <t>コンピューティング</t>
        </is>
      </c>
      <c r="C13" s="32" t="inlineStr">
        <is>
          <t>起動テンプレート</t>
        </is>
      </c>
      <c r="D13" s="37" t="inlineStr">
        <is>
          <t>AMI・インスタンスタイプ・SGなど起動設定のテンプレート。起動設定(Launch Configuration)の後継</t>
        </is>
      </c>
      <c r="E13" s="35" t="inlineStr">
        <is>
          <t>バージョン管理可能。複数インスタンスタイプ・スポット混在に対応</t>
        </is>
      </c>
      <c r="F13" s="38" t="inlineStr">
        <is>
          <t>★</t>
        </is>
      </c>
      <c r="G13" s="39" t="n"/>
    </row>
    <row r="14" ht="29.85" customHeight="1" s="22">
      <c r="A14" s="34" t="n">
        <v>10</v>
      </c>
      <c r="B14" s="35" t="inlineStr">
        <is>
          <t>コンピューティング</t>
        </is>
      </c>
      <c r="C14" s="36" t="inlineStr">
        <is>
          <t>AMI</t>
        </is>
      </c>
      <c r="D14" s="37" t="inlineStr">
        <is>
          <t>EC2の起動イメージ。リージョン単位で、別リージョンへはコピーが必要</t>
        </is>
      </c>
      <c r="E14" s="37" t="inlineStr">
        <is>
          <t>DRで別リージョンにAMIをコピー</t>
        </is>
      </c>
      <c r="F14" s="38" t="inlineStr">
        <is>
          <t>★★</t>
        </is>
      </c>
      <c r="G14" s="39" t="n"/>
    </row>
    <row r="15" ht="29.85" customHeight="1" s="22">
      <c r="A15" s="34" t="n">
        <v>11</v>
      </c>
      <c r="B15" s="35" t="inlineStr">
        <is>
          <t>コンピューティング</t>
        </is>
      </c>
      <c r="C15" s="36" t="inlineStr">
        <is>
          <t>EC2インスタンスストア</t>
        </is>
      </c>
      <c r="D15" s="35" t="inlineStr">
        <is>
          <t>ホストに物理接続された一時ストレージ。停止・終了でデータ消失</t>
        </is>
      </c>
      <c r="E15" s="35" t="inlineStr">
        <is>
          <t>超高IOPSの一時データ・キャッシュ用。永続化が必要なら不可</t>
        </is>
      </c>
      <c r="F15" s="38" t="inlineStr">
        <is>
          <t>★★</t>
        </is>
      </c>
      <c r="G15" s="39" t="n"/>
    </row>
    <row r="16" ht="29.85" customHeight="1" s="22">
      <c r="A16" s="34" t="n">
        <v>12</v>
      </c>
      <c r="B16" s="35" t="inlineStr">
        <is>
          <t>コンピューティング</t>
        </is>
      </c>
      <c r="C16" s="36" t="inlineStr">
        <is>
          <t>AWS Lambda</t>
        </is>
      </c>
      <c r="D16" s="35" t="inlineStr">
        <is>
          <t>サーバーレスでコードを実行。最大実行時間15分、メモリ最大10GB、リクエスト単位課金</t>
        </is>
      </c>
      <c r="E16" s="35" t="inlineStr">
        <is>
          <t>イベント駆動処理(S3アップロード等)。15分超の処理は不向き</t>
        </is>
      </c>
      <c r="F16" s="38" t="inlineStr">
        <is>
          <t>★★★</t>
        </is>
      </c>
      <c r="G16" s="39" t="n"/>
    </row>
    <row r="17" ht="29.85" customHeight="1" s="22">
      <c r="A17" s="34" t="n">
        <v>13</v>
      </c>
      <c r="B17" s="35" t="inlineStr">
        <is>
          <t>コンピューティング</t>
        </is>
      </c>
      <c r="C17" s="36" t="inlineStr">
        <is>
          <t>Amazon ECS</t>
        </is>
      </c>
      <c r="D17" s="37" t="inlineStr">
        <is>
          <t>AWS独自のコンテナオーケストレーション。起動タイプはEC2またはFargate</t>
        </is>
      </c>
      <c r="E17" s="35" t="inlineStr">
        <is>
          <t>コンテナ化アプリのデプロイ</t>
        </is>
      </c>
      <c r="F17" s="38" t="inlineStr">
        <is>
          <t>★★</t>
        </is>
      </c>
      <c r="G17" s="39" t="n"/>
    </row>
    <row r="18" ht="29.85" customHeight="1" s="22">
      <c r="A18" s="34" t="n">
        <v>14</v>
      </c>
      <c r="B18" s="35" t="inlineStr">
        <is>
          <t>コンピューティング</t>
        </is>
      </c>
      <c r="C18" s="36" t="inlineStr">
        <is>
          <t>Amazon EKS</t>
        </is>
      </c>
      <c r="D18" s="35" t="inlineStr">
        <is>
          <t>マネージドKubernetes</t>
        </is>
      </c>
      <c r="E18" s="35" t="inlineStr">
        <is>
          <t>既存のKubernetes資産をそのまま移行したい場合</t>
        </is>
      </c>
      <c r="F18" s="38" t="inlineStr">
        <is>
          <t>★★</t>
        </is>
      </c>
      <c r="G18" s="39" t="n"/>
    </row>
    <row r="19" ht="29.85" customHeight="1" s="22">
      <c r="A19" s="34" t="n">
        <v>15</v>
      </c>
      <c r="B19" s="35" t="inlineStr">
        <is>
          <t>コンピューティング</t>
        </is>
      </c>
      <c r="C19" s="36" t="inlineStr">
        <is>
          <t>AWS Fargate</t>
        </is>
      </c>
      <c r="D19" s="35" t="inlineStr">
        <is>
          <t>サーバー管理不要でコンテナを実行するサーバーレスエンジン(ECS/EKSで利用)</t>
        </is>
      </c>
      <c r="E19" s="35" t="inlineStr">
        <is>
          <t>「インフラ管理なしでコンテナ」→Fargate</t>
        </is>
      </c>
      <c r="F19" s="38" t="inlineStr">
        <is>
          <t>★★★</t>
        </is>
      </c>
      <c r="G19" s="39" t="n"/>
    </row>
    <row r="20" ht="29.85" customHeight="1" s="22">
      <c r="A20" s="34" t="n">
        <v>16</v>
      </c>
      <c r="B20" s="35" t="inlineStr">
        <is>
          <t>コンピューティング</t>
        </is>
      </c>
      <c r="C20" s="36" t="inlineStr">
        <is>
          <t>AWS Elastic Beanstalk</t>
        </is>
      </c>
      <c r="D20" s="35" t="inlineStr">
        <is>
          <t>コードをアップロードするだけでEC2・ELB・Auto Scaling等を自動構築するPaaS</t>
        </is>
      </c>
      <c r="E20" s="35" t="inlineStr">
        <is>
          <t>開発者がインフラを意識せず素早くデプロイしたい場合</t>
        </is>
      </c>
      <c r="F20" s="38" t="inlineStr">
        <is>
          <t>★</t>
        </is>
      </c>
      <c r="G20" s="39" t="n"/>
    </row>
    <row r="21" ht="29.85" customHeight="1" s="22">
      <c r="A21" s="34" t="n">
        <v>17</v>
      </c>
      <c r="B21" s="35" t="inlineStr">
        <is>
          <t>コンピューティング</t>
        </is>
      </c>
      <c r="C21" s="36" t="inlineStr">
        <is>
          <t>AWS Batch</t>
        </is>
      </c>
      <c r="D21" s="35" t="inlineStr">
        <is>
          <t>バッチジョブのスケジューリングと実行を管理。スポットと相性が良い</t>
        </is>
      </c>
      <c r="E21" s="37" t="inlineStr">
        <is>
          <t>Lambdaの15分制限を超える大規模バッチ</t>
        </is>
      </c>
      <c r="F21" s="38" t="inlineStr">
        <is>
          <t>★</t>
        </is>
      </c>
      <c r="G21" s="39" t="n"/>
    </row>
    <row r="22" ht="29.85" customHeight="1" s="22">
      <c r="A22" s="34" t="n">
        <v>18</v>
      </c>
      <c r="B22" s="35" t="inlineStr">
        <is>
          <t>ストレージ</t>
        </is>
      </c>
      <c r="C22" s="36" t="inlineStr">
        <is>
          <t>Amazon S3</t>
        </is>
      </c>
      <c r="D22" s="35" t="inlineStr">
        <is>
          <t>オブジェクトストレージ。耐久性99.999999999%(イレブンナイン)、容量無制限、1オブジェクト最大5TB</t>
        </is>
      </c>
      <c r="E22" s="35" t="inlineStr">
        <is>
          <t>静的コンテンツ・データレイク・バックアップ。S3は強い整合性(read-after-write)</t>
        </is>
      </c>
      <c r="F22" s="38" t="inlineStr">
        <is>
          <t>★★★</t>
        </is>
      </c>
      <c r="G22" s="39" t="n"/>
    </row>
    <row r="23" ht="29.85" customHeight="1" s="22">
      <c r="A23" s="34" t="n">
        <v>19</v>
      </c>
      <c r="B23" s="35" t="inlineStr">
        <is>
          <t>ストレージ</t>
        </is>
      </c>
      <c r="C23" s="36" t="inlineStr">
        <is>
          <t>S3ストレージクラス</t>
        </is>
      </c>
      <c r="D23" s="37" t="inlineStr">
        <is>
          <t>Standard / Intelligent-Tiering / Standard-IA / One Zone-IA / Glacier Instant Retrieval / Glacier Flexible Retrieval / Glacier Deep Archive</t>
        </is>
      </c>
      <c r="E23" s="35" t="inlineStr">
        <is>
          <t>アクセス頻度と取り出し時間の要件で選ぶ。アクセスパターン不明→Intelligent-Tiering</t>
        </is>
      </c>
      <c r="F23" s="38" t="inlineStr">
        <is>
          <t>★★★</t>
        </is>
      </c>
      <c r="G23" s="39" t="n"/>
    </row>
    <row r="24" ht="29.85" customHeight="1" s="22">
      <c r="A24" s="34" t="n">
        <v>20</v>
      </c>
      <c r="B24" s="35" t="inlineStr">
        <is>
          <t>ストレージ</t>
        </is>
      </c>
      <c r="C24" s="36" t="inlineStr">
        <is>
          <t>S3 Glacier Deep Archive</t>
        </is>
      </c>
      <c r="D24" s="35" t="inlineStr">
        <is>
          <t>最安のアーカイブ。取り出しに標準12時間以内</t>
        </is>
      </c>
      <c r="E24" s="35" t="inlineStr">
        <is>
          <t>長期保管(7〜10年)・コンプライアンス用、取り出し頻度ほぼゼロ</t>
        </is>
      </c>
      <c r="F24" s="38" t="inlineStr">
        <is>
          <t>★★★</t>
        </is>
      </c>
      <c r="G24" s="39" t="n"/>
    </row>
    <row r="25" ht="15" customHeight="1" s="22">
      <c r="A25" s="34" t="n">
        <v>21</v>
      </c>
      <c r="B25" s="35" t="inlineStr">
        <is>
          <t>ストレージ</t>
        </is>
      </c>
      <c r="C25" s="36" t="inlineStr">
        <is>
          <t>S3ライフサイクルポリシー</t>
        </is>
      </c>
      <c r="D25" s="35" t="inlineStr">
        <is>
          <t>経過日数に応じてストレージクラスを自動移行・自動削除</t>
        </is>
      </c>
      <c r="E25" s="35" t="inlineStr">
        <is>
          <t>「30日後にIA、90日後にGlacier」型の問題</t>
        </is>
      </c>
      <c r="F25" s="38" t="inlineStr">
        <is>
          <t>★★★</t>
        </is>
      </c>
      <c r="G25" s="39" t="n"/>
    </row>
    <row r="26" ht="15" customHeight="1" s="22">
      <c r="A26" s="34" t="n">
        <v>22</v>
      </c>
      <c r="B26" s="35" t="inlineStr">
        <is>
          <t>ストレージ</t>
        </is>
      </c>
      <c r="C26" s="36" t="inlineStr">
        <is>
          <t>S3バージョニング</t>
        </is>
      </c>
      <c r="D26" s="35" t="inlineStr">
        <is>
          <t>オブジェクトの全バージョンを保持し、誤削除・上書きから保護</t>
        </is>
      </c>
      <c r="E26" s="35" t="inlineStr">
        <is>
          <t>誤削除対策。レプリケーションやObject Lockの前提条件</t>
        </is>
      </c>
      <c r="F26" s="38" t="inlineStr">
        <is>
          <t>★★★</t>
        </is>
      </c>
      <c r="G26" s="39" t="n"/>
    </row>
    <row r="27" ht="29.85" customHeight="1" s="22">
      <c r="A27" s="34" t="n">
        <v>23</v>
      </c>
      <c r="B27" s="35" t="inlineStr">
        <is>
          <t>ストレージ</t>
        </is>
      </c>
      <c r="C27" s="36" t="inlineStr">
        <is>
          <t>S3レプリケーション(CRR/SRR)</t>
        </is>
      </c>
      <c r="D27" s="35" t="inlineStr">
        <is>
          <t>別リージョン(CRR)または同一リージョン(SRR)へ自動複製。バージョニング必須</t>
        </is>
      </c>
      <c r="E27" s="37" t="inlineStr">
        <is>
          <t>DR・レイテンシ削減・コンプライアンス</t>
        </is>
      </c>
      <c r="F27" s="38" t="inlineStr">
        <is>
          <t>★★</t>
        </is>
      </c>
      <c r="G27" s="39" t="n"/>
    </row>
    <row r="28" ht="29.85" customHeight="1" s="22">
      <c r="A28" s="34" t="n">
        <v>24</v>
      </c>
      <c r="B28" s="35" t="inlineStr">
        <is>
          <t>ストレージ</t>
        </is>
      </c>
      <c r="C28" s="36" t="inlineStr">
        <is>
          <t>S3 Object Lock</t>
        </is>
      </c>
      <c r="D28" s="37" t="inlineStr">
        <is>
          <t>WORM(書き込み1回・読み取り多数)でオブジェクトの削除・変更を防止。ガバナンス/コンプライアンスモード</t>
        </is>
      </c>
      <c r="E28" s="35" t="inlineStr">
        <is>
          <t>規制要件で改ざん防止が必要な場合</t>
        </is>
      </c>
      <c r="F28" s="38" t="inlineStr">
        <is>
          <t>★★</t>
        </is>
      </c>
      <c r="G28" s="39" t="n"/>
    </row>
    <row r="29" ht="29.85" customHeight="1" s="22">
      <c r="A29" s="34" t="n">
        <v>25</v>
      </c>
      <c r="B29" s="35" t="inlineStr">
        <is>
          <t>ストレージ</t>
        </is>
      </c>
      <c r="C29" s="36" t="inlineStr">
        <is>
          <t>S3署名付きURL(Presigned URL)</t>
        </is>
      </c>
      <c r="D29" s="35" t="inlineStr">
        <is>
          <t>期限付きで特定オブジェクトへのアクセスを許可するURL</t>
        </is>
      </c>
      <c r="E29" s="35" t="inlineStr">
        <is>
          <t>非公開バケットのファイルを一時的に共有・アップロードさせる</t>
        </is>
      </c>
      <c r="F29" s="38" t="inlineStr">
        <is>
          <t>★★</t>
        </is>
      </c>
      <c r="G29" s="39" t="n"/>
    </row>
    <row r="30" ht="29.85" customHeight="1" s="22">
      <c r="A30" s="34" t="n">
        <v>26</v>
      </c>
      <c r="B30" s="35" t="inlineStr">
        <is>
          <t>ストレージ</t>
        </is>
      </c>
      <c r="C30" s="36" t="inlineStr">
        <is>
          <t>S3 Transfer Acceleration</t>
        </is>
      </c>
      <c r="D30" s="37" t="inlineStr">
        <is>
          <t>CloudFrontのエッジを経由して遠隔地からのS3アップロードを高速化</t>
        </is>
      </c>
      <c r="E30" s="35" t="inlineStr">
        <is>
          <t>世界中から大容量ファイルを1つのバケットへアップロード</t>
        </is>
      </c>
      <c r="F30" s="38" t="inlineStr">
        <is>
          <t>★★</t>
        </is>
      </c>
      <c r="G30" s="39" t="n"/>
    </row>
    <row r="31" ht="29.85" customHeight="1" s="22">
      <c r="A31" s="34" t="n">
        <v>27</v>
      </c>
      <c r="B31" s="35" t="inlineStr">
        <is>
          <t>ストレージ</t>
        </is>
      </c>
      <c r="C31" s="32" t="inlineStr">
        <is>
          <t>マルチパートアップロード</t>
        </is>
      </c>
      <c r="D31" s="35" t="inlineStr">
        <is>
          <t>大きなオブジェクトを分割して並列アップロード。100MB超で推奨、5GB超は必須</t>
        </is>
      </c>
      <c r="E31" s="35" t="inlineStr">
        <is>
          <t>大容量ファイルのアップロード高速化・再送効率化</t>
        </is>
      </c>
      <c r="F31" s="38" t="inlineStr">
        <is>
          <t>★</t>
        </is>
      </c>
      <c r="G31" s="39" t="n"/>
    </row>
    <row r="32" ht="15" customHeight="1" s="22">
      <c r="A32" s="34" t="n">
        <v>28</v>
      </c>
      <c r="B32" s="35" t="inlineStr">
        <is>
          <t>ストレージ</t>
        </is>
      </c>
      <c r="C32" s="36" t="inlineStr">
        <is>
          <t>S3イベント通知</t>
        </is>
      </c>
      <c r="D32" s="35" t="inlineStr">
        <is>
          <t>オブジェクト作成・削除時にLambda・SQS・SNS・EventBridgeへ通知</t>
        </is>
      </c>
      <c r="E32" s="35" t="inlineStr">
        <is>
          <t>アップロードをトリガーにした処理(サムネイル生成等)</t>
        </is>
      </c>
      <c r="F32" s="38" t="inlineStr">
        <is>
          <t>★★</t>
        </is>
      </c>
      <c r="G32" s="39" t="n"/>
    </row>
    <row r="33" ht="29.85" customHeight="1" s="22">
      <c r="A33" s="34" t="n">
        <v>29</v>
      </c>
      <c r="B33" s="35" t="inlineStr">
        <is>
          <t>ストレージ</t>
        </is>
      </c>
      <c r="C33" s="36" t="inlineStr">
        <is>
          <t>Amazon EBS</t>
        </is>
      </c>
      <c r="D33" s="37" t="inlineStr">
        <is>
          <t>EC2用ブロックストレージ。AZ単位で、同一AZのインスタンスにのみアタッチ可能</t>
        </is>
      </c>
      <c r="E33" s="37" t="inlineStr">
        <is>
          <t>gp3(汎用)、io2(高IOPS/DB向け)、st1(スループット)、sc1(コールド)の選択</t>
        </is>
      </c>
      <c r="F33" s="38" t="inlineStr">
        <is>
          <t>★★★</t>
        </is>
      </c>
      <c r="G33" s="39" t="n"/>
    </row>
    <row r="34" ht="29.85" customHeight="1" s="22">
      <c r="A34" s="34" t="n">
        <v>30</v>
      </c>
      <c r="B34" s="35" t="inlineStr">
        <is>
          <t>ストレージ</t>
        </is>
      </c>
      <c r="C34" s="36" t="inlineStr">
        <is>
          <t>EBSスナップショット</t>
        </is>
      </c>
      <c r="D34" s="37" t="inlineStr">
        <is>
          <t>EBSの増分バックアップ(S3に保存)。別リージョンへコピー可能</t>
        </is>
      </c>
      <c r="E34" s="35" t="inlineStr">
        <is>
          <t>別AZへのボリューム移動・DR。Data Lifecycle Managerで自動化</t>
        </is>
      </c>
      <c r="F34" s="38" t="inlineStr">
        <is>
          <t>★★</t>
        </is>
      </c>
      <c r="G34" s="39" t="n"/>
    </row>
    <row r="35" ht="15" customHeight="1" s="22">
      <c r="A35" s="34" t="n">
        <v>31</v>
      </c>
      <c r="B35" s="35" t="inlineStr">
        <is>
          <t>ストレージ</t>
        </is>
      </c>
      <c r="C35" s="36" t="inlineStr">
        <is>
          <t>EBSマルチアタッチ</t>
        </is>
      </c>
      <c r="D35" s="37" t="inlineStr">
        <is>
          <t>io1/io2ボリュームを同一AZ内の複数インスタンスに同時接続</t>
        </is>
      </c>
      <c r="E35" s="35" t="inlineStr">
        <is>
          <t>クラスター対応アプリのみ。通常の共有ファイルにはEFS</t>
        </is>
      </c>
      <c r="F35" s="38" t="inlineStr">
        <is>
          <t>★</t>
        </is>
      </c>
      <c r="G35" s="39" t="n"/>
    </row>
    <row r="36" ht="29.85" customHeight="1" s="22">
      <c r="A36" s="34" t="n">
        <v>32</v>
      </c>
      <c r="B36" s="35" t="inlineStr">
        <is>
          <t>ストレージ</t>
        </is>
      </c>
      <c r="C36" s="36" t="inlineStr">
        <is>
          <t>Amazon EFS</t>
        </is>
      </c>
      <c r="D36" s="37" t="inlineStr">
        <is>
          <t>Linux向けマネージドNFS。複数AZ・多数のEC2から同時マウント可能、自動拡張</t>
        </is>
      </c>
      <c r="E36" s="35" t="inlineStr">
        <is>
          <t>複数インスタンスで共有するファイルストレージ(Linux)</t>
        </is>
      </c>
      <c r="F36" s="38" t="inlineStr">
        <is>
          <t>★★★</t>
        </is>
      </c>
      <c r="G36" s="39" t="n"/>
    </row>
    <row r="37" ht="23.85" customHeight="1" s="22">
      <c r="A37" s="34" t="n">
        <v>33</v>
      </c>
      <c r="B37" s="35" t="inlineStr">
        <is>
          <t>ストレージ</t>
        </is>
      </c>
      <c r="C37" s="36" t="inlineStr">
        <is>
          <t>Amazon FSx for Windows File Server</t>
        </is>
      </c>
      <c r="D37" s="37" t="inlineStr">
        <is>
          <t>SMBプロトコル・Active Directory連携のWindowsファイルサーバー</t>
        </is>
      </c>
      <c r="E37" s="37" t="inlineStr">
        <is>
          <t>Windows環境の共有ファイル</t>
        </is>
      </c>
      <c r="F37" s="38" t="inlineStr">
        <is>
          <t>★★</t>
        </is>
      </c>
      <c r="G37" s="39" t="n"/>
    </row>
    <row r="38" ht="15" customHeight="1" s="22">
      <c r="A38" s="34" t="n">
        <v>34</v>
      </c>
      <c r="B38" s="35" t="inlineStr">
        <is>
          <t>ストレージ</t>
        </is>
      </c>
      <c r="C38" s="36" t="inlineStr">
        <is>
          <t>Amazon FSx for Lustre</t>
        </is>
      </c>
      <c r="D38" s="37" t="inlineStr">
        <is>
          <t>HPC・機械学習向けの高性能並列ファイルシステム。S3と連携可能</t>
        </is>
      </c>
      <c r="E38" s="37" t="inlineStr">
        <is>
          <t>HPC・高速な大規模データ処理</t>
        </is>
      </c>
      <c r="F38" s="38" t="inlineStr">
        <is>
          <t>★★</t>
        </is>
      </c>
      <c r="G38" s="39" t="n"/>
    </row>
    <row r="39" ht="29.85" customHeight="1" s="22">
      <c r="A39" s="34" t="n">
        <v>35</v>
      </c>
      <c r="B39" s="35" t="inlineStr">
        <is>
          <t>ストレージ</t>
        </is>
      </c>
      <c r="C39" s="36" t="inlineStr">
        <is>
          <t>AWS Storage Gateway</t>
        </is>
      </c>
      <c r="D39" s="35" t="inlineStr">
        <is>
          <t>オンプレミスとクラウドストレージをつなぐハイブリッドサービス。File / Volume / Tape Gateway</t>
        </is>
      </c>
      <c r="E39" s="35" t="inlineStr">
        <is>
          <t>オンプレのバックアップをS3へ、テープ置き換え(Tape Gateway)</t>
        </is>
      </c>
      <c r="F39" s="38" t="inlineStr">
        <is>
          <t>★★</t>
        </is>
      </c>
      <c r="G39" s="39" t="n"/>
    </row>
    <row r="40" ht="15" customHeight="1" s="22">
      <c r="A40" s="34" t="n">
        <v>36</v>
      </c>
      <c r="B40" s="35" t="inlineStr">
        <is>
          <t>ストレージ</t>
        </is>
      </c>
      <c r="C40" s="36" t="inlineStr">
        <is>
          <t>AWS Snowファミリー</t>
        </is>
      </c>
      <c r="D40" s="35" t="inlineStr">
        <is>
          <t>物理デバイスで大容量データをオフライン移行(Snowball Edge等)</t>
        </is>
      </c>
      <c r="E40" s="35" t="inlineStr">
        <is>
          <t>ネットワークで数週間以上かかるTB〜PB級の移行</t>
        </is>
      </c>
      <c r="F40" s="38" t="inlineStr">
        <is>
          <t>★★</t>
        </is>
      </c>
      <c r="G40" s="39" t="n"/>
    </row>
    <row r="41" ht="29.85" customHeight="1" s="22">
      <c r="A41" s="34" t="n">
        <v>37</v>
      </c>
      <c r="B41" s="35" t="inlineStr">
        <is>
          <t>ストレージ</t>
        </is>
      </c>
      <c r="C41" s="36" t="inlineStr">
        <is>
          <t>AWS DataSync</t>
        </is>
      </c>
      <c r="D41" s="35" t="inlineStr">
        <is>
          <t>オンプレ⇔AWS(S3/EFS/FSx)間のオンラインデータ転送を自動化・高速化</t>
        </is>
      </c>
      <c r="E41" s="37" t="inlineStr">
        <is>
          <t>NFS/SMBからの定期的なデータ移行・同期</t>
        </is>
      </c>
      <c r="F41" s="38" t="inlineStr">
        <is>
          <t>★★</t>
        </is>
      </c>
      <c r="G41" s="39" t="n"/>
    </row>
    <row r="42" ht="29.85" customHeight="1" s="22">
      <c r="A42" s="34" t="n">
        <v>38</v>
      </c>
      <c r="B42" s="35" t="inlineStr">
        <is>
          <t>ストレージ</t>
        </is>
      </c>
      <c r="C42" s="36" t="inlineStr">
        <is>
          <t>AWS Backup</t>
        </is>
      </c>
      <c r="D42" s="35" t="inlineStr">
        <is>
          <t>複数サービス(EBS、RDS、DynamoDB、EFS等)のバックアップを一元管理</t>
        </is>
      </c>
      <c r="E42" s="35" t="inlineStr">
        <is>
          <t>バックアップポリシーの集中管理、クロスリージョン/クロスアカウントコピー</t>
        </is>
      </c>
      <c r="F42" s="38" t="inlineStr">
        <is>
          <t>★★</t>
        </is>
      </c>
      <c r="G42" s="39" t="n"/>
    </row>
    <row r="43" ht="29.85" customHeight="1" s="22">
      <c r="A43" s="34" t="n">
        <v>39</v>
      </c>
      <c r="B43" s="35" t="inlineStr">
        <is>
          <t>データベース</t>
        </is>
      </c>
      <c r="C43" s="36" t="inlineStr">
        <is>
          <t>Amazon RDS</t>
        </is>
      </c>
      <c r="D43" s="35" t="inlineStr">
        <is>
          <t>マネージドRDB(MySQL/PostgreSQL/MariaDB/Oracle/SQL Server)</t>
        </is>
      </c>
      <c r="E43" s="37" t="inlineStr">
        <is>
          <t>OSパッチ・バックアップ・フェイルオーバーをAWSに任せたいとき</t>
        </is>
      </c>
      <c r="F43" s="38" t="inlineStr">
        <is>
          <t>★★★</t>
        </is>
      </c>
      <c r="G43" s="39" t="n"/>
    </row>
    <row r="44" ht="29.85" customHeight="1" s="22">
      <c r="A44" s="34" t="n">
        <v>40</v>
      </c>
      <c r="B44" s="35" t="inlineStr">
        <is>
          <t>データベース</t>
        </is>
      </c>
      <c r="C44" s="36" t="inlineStr">
        <is>
          <t>RDSマルチAZ</t>
        </is>
      </c>
      <c r="D44" s="35" t="inlineStr">
        <is>
          <t>別AZにスタンバイを同期レプリケーション。障害時に自動フェイルオーバー</t>
        </is>
      </c>
      <c r="E44" s="35" t="inlineStr">
        <is>
          <t>高可用性(HA)目的。スタンバイは読み取り不可(従来型の場合)</t>
        </is>
      </c>
      <c r="F44" s="38" t="inlineStr">
        <is>
          <t>★★★</t>
        </is>
      </c>
      <c r="G44" s="39" t="n"/>
    </row>
    <row r="45" ht="15" customHeight="1" s="22">
      <c r="A45" s="34" t="n">
        <v>41</v>
      </c>
      <c r="B45" s="35" t="inlineStr">
        <is>
          <t>データベース</t>
        </is>
      </c>
      <c r="C45" s="36" t="inlineStr">
        <is>
          <t>RDSリードレプリカ</t>
        </is>
      </c>
      <c r="D45" s="35" t="inlineStr">
        <is>
          <t>非同期レプリケーションの読み取り専用コピー。クロスリージョン可能</t>
        </is>
      </c>
      <c r="E45" s="35" t="inlineStr">
        <is>
          <t>読み取り負荷の分散。HA目的ならマルチAZ</t>
        </is>
      </c>
      <c r="F45" s="38" t="inlineStr">
        <is>
          <t>★★★</t>
        </is>
      </c>
      <c r="G45" s="39" t="n"/>
    </row>
    <row r="46" ht="15" customHeight="1" s="22">
      <c r="A46" s="34" t="n">
        <v>42</v>
      </c>
      <c r="B46" s="35" t="inlineStr">
        <is>
          <t>データベース</t>
        </is>
      </c>
      <c r="C46" s="36" t="inlineStr">
        <is>
          <t>RDS Proxy</t>
        </is>
      </c>
      <c r="D46" s="37" t="inlineStr">
        <is>
          <t>DB接続をプール・共有し、フェイルオーバー時間も短縮</t>
        </is>
      </c>
      <c r="E46" s="37" t="inlineStr">
        <is>
          <t>Lambdaからの大量接続でDBが圧迫される問題の解決</t>
        </is>
      </c>
      <c r="F46" s="38" t="inlineStr">
        <is>
          <t>★★</t>
        </is>
      </c>
      <c r="G46" s="39" t="n"/>
    </row>
    <row r="47" ht="29.85" customHeight="1" s="22">
      <c r="A47" s="34" t="n">
        <v>43</v>
      </c>
      <c r="B47" s="35" t="inlineStr">
        <is>
          <t>データベース</t>
        </is>
      </c>
      <c r="C47" s="36" t="inlineStr">
        <is>
          <t>Amazon Aurora</t>
        </is>
      </c>
      <c r="D47" s="37" t="inlineStr">
        <is>
          <t>AWS独自の高性能RDB(MySQL/PostgreSQL互換)。3AZに6コピーを保持、最大15個のレプリカ</t>
        </is>
      </c>
      <c r="E47" s="35" t="inlineStr">
        <is>
          <t>高性能・高可用性RDBが必要な場合</t>
        </is>
      </c>
      <c r="F47" s="38" t="inlineStr">
        <is>
          <t>★★★</t>
        </is>
      </c>
      <c r="G47" s="39" t="n"/>
    </row>
    <row r="48" ht="15" customHeight="1" s="22">
      <c r="A48" s="34" t="n">
        <v>44</v>
      </c>
      <c r="B48" s="35" t="inlineStr">
        <is>
          <t>データベース</t>
        </is>
      </c>
      <c r="C48" s="36" t="inlineStr">
        <is>
          <t>Aurora Serverless</t>
        </is>
      </c>
      <c r="D48" s="35" t="inlineStr">
        <is>
          <t>負荷に応じて容量を自動スケール</t>
        </is>
      </c>
      <c r="E48" s="35" t="inlineStr">
        <is>
          <t>断続的・予測不能なワークロード</t>
        </is>
      </c>
      <c r="F48" s="38" t="inlineStr">
        <is>
          <t>★★</t>
        </is>
      </c>
      <c r="G48" s="39" t="n"/>
    </row>
    <row r="49" ht="15" customHeight="1" s="22">
      <c r="A49" s="34" t="n">
        <v>45</v>
      </c>
      <c r="B49" s="35" t="inlineStr">
        <is>
          <t>データベース</t>
        </is>
      </c>
      <c r="C49" s="36" t="inlineStr">
        <is>
          <t>Aurora Global Database</t>
        </is>
      </c>
      <c r="D49" s="35" t="inlineStr">
        <is>
          <t>リージョン間を低遅延(通常1秒未満)でレプリケーション</t>
        </is>
      </c>
      <c r="E49" s="35" t="inlineStr">
        <is>
          <t>グローバル展開・リージョンDR(RPO秒単位)</t>
        </is>
      </c>
      <c r="F49" s="38" t="inlineStr">
        <is>
          <t>★★</t>
        </is>
      </c>
      <c r="G49" s="39" t="n"/>
    </row>
    <row r="50" ht="29.85" customHeight="1" s="22">
      <c r="A50" s="34" t="n">
        <v>46</v>
      </c>
      <c r="B50" s="35" t="inlineStr">
        <is>
          <t>データベース</t>
        </is>
      </c>
      <c r="C50" s="36" t="inlineStr">
        <is>
          <t>Amazon DynamoDB</t>
        </is>
      </c>
      <c r="D50" s="35" t="inlineStr">
        <is>
          <t>フルマネージドNoSQL(キーバリュー)。1桁ミリ秒のレイテンシ、自動スケール</t>
        </is>
      </c>
      <c r="E50" s="35" t="inlineStr">
        <is>
          <t>スキーマレス・高スケール・サーバーレスとの組み合わせ</t>
        </is>
      </c>
      <c r="F50" s="38" t="inlineStr">
        <is>
          <t>★★★</t>
        </is>
      </c>
      <c r="G50" s="39" t="n"/>
    </row>
    <row r="51" ht="15" customHeight="1" s="22">
      <c r="A51" s="34" t="n">
        <v>47</v>
      </c>
      <c r="B51" s="35" t="inlineStr">
        <is>
          <t>データベース</t>
        </is>
      </c>
      <c r="C51" s="36" t="inlineStr">
        <is>
          <t>DynamoDBキャパシティモード</t>
        </is>
      </c>
      <c r="D51" s="35" t="inlineStr">
        <is>
          <t>オンデマンド(リクエスト課金)とプロビジョンド(+Auto Scaling)</t>
        </is>
      </c>
      <c r="E51" s="35" t="inlineStr">
        <is>
          <t>予測不能ならオンデマンド、安定ならプロビジョンド</t>
        </is>
      </c>
      <c r="F51" s="38" t="inlineStr">
        <is>
          <t>★★</t>
        </is>
      </c>
      <c r="G51" s="39" t="n"/>
    </row>
    <row r="52" ht="15" customHeight="1" s="22">
      <c r="A52" s="34" t="n">
        <v>48</v>
      </c>
      <c r="B52" s="35" t="inlineStr">
        <is>
          <t>データベース</t>
        </is>
      </c>
      <c r="C52" s="36" t="inlineStr">
        <is>
          <t>DynamoDB Accelerator(DAX)</t>
        </is>
      </c>
      <c r="D52" s="37" t="inlineStr">
        <is>
          <t>DynamoDB専用のインメモリキャッシュ。マイクロ秒の読み取り</t>
        </is>
      </c>
      <c r="E52" s="37" t="inlineStr">
        <is>
          <t>DynamoDBの読み取りを高速化(アプリ改修最小)</t>
        </is>
      </c>
      <c r="F52" s="38" t="inlineStr">
        <is>
          <t>★★</t>
        </is>
      </c>
      <c r="G52" s="39" t="n"/>
    </row>
    <row r="53" ht="15" customHeight="1" s="22">
      <c r="A53" s="34" t="n">
        <v>49</v>
      </c>
      <c r="B53" s="35" t="inlineStr">
        <is>
          <t>データベース</t>
        </is>
      </c>
      <c r="C53" s="36" t="inlineStr">
        <is>
          <t>DynamoDBグローバルテーブル</t>
        </is>
      </c>
      <c r="D53" s="35" t="inlineStr">
        <is>
          <t>複数リージョンにマルチアクティブでレプリケーション</t>
        </is>
      </c>
      <c r="E53" s="35" t="inlineStr">
        <is>
          <t>グローバルアプリの低レイテンシ読み書き</t>
        </is>
      </c>
      <c r="F53" s="38" t="inlineStr">
        <is>
          <t>★★</t>
        </is>
      </c>
      <c r="G53" s="39" t="n"/>
    </row>
    <row r="54" ht="15" customHeight="1" s="22">
      <c r="A54" s="34" t="n">
        <v>50</v>
      </c>
      <c r="B54" s="35" t="inlineStr">
        <is>
          <t>データベース</t>
        </is>
      </c>
      <c r="C54" s="36" t="inlineStr">
        <is>
          <t>DynamoDB Streams</t>
        </is>
      </c>
      <c r="D54" s="35" t="inlineStr">
        <is>
          <t>テーブルの変更をストリームとして取得しLambda等で処理</t>
        </is>
      </c>
      <c r="E54" s="35" t="inlineStr">
        <is>
          <t>変更データキャプチャ(CDC)・イベント駆動</t>
        </is>
      </c>
      <c r="F54" s="38" t="inlineStr">
        <is>
          <t>★</t>
        </is>
      </c>
      <c r="G54" s="39" t="n"/>
    </row>
    <row r="55" ht="29.85" customHeight="1" s="22">
      <c r="A55" s="34" t="n">
        <v>51</v>
      </c>
      <c r="B55" s="35" t="inlineStr">
        <is>
          <t>データベース</t>
        </is>
      </c>
      <c r="C55" s="36" t="inlineStr">
        <is>
          <t>Amazon ElastiCache</t>
        </is>
      </c>
      <c r="D55" s="35" t="inlineStr">
        <is>
          <t>マネージドインメモリキャッシュ(Redis OSS / Valkey / Memcached)</t>
        </is>
      </c>
      <c r="E55" s="37" t="inlineStr">
        <is>
          <t>DB負荷軽減・セッション管理。Redis系はレプリケーション・永続化あり</t>
        </is>
      </c>
      <c r="F55" s="38" t="inlineStr">
        <is>
          <t>★★★</t>
        </is>
      </c>
      <c r="G55" s="39" t="n"/>
    </row>
    <row r="56" ht="29.85" customHeight="1" s="22">
      <c r="A56" s="34" t="n">
        <v>52</v>
      </c>
      <c r="B56" s="35" t="inlineStr">
        <is>
          <t>データベース</t>
        </is>
      </c>
      <c r="C56" s="36" t="inlineStr">
        <is>
          <t>Amazon Redshift</t>
        </is>
      </c>
      <c r="D56" s="35" t="inlineStr">
        <is>
          <t>ペタバイト級のデータウェアハウス(列指向)</t>
        </is>
      </c>
      <c r="E56" s="35" t="inlineStr">
        <is>
          <t>大規模分析(OLAP)・BI。トランザクション処理(OLTP)にはRDS</t>
        </is>
      </c>
      <c r="F56" s="38" t="inlineStr">
        <is>
          <t>★★</t>
        </is>
      </c>
      <c r="G56" s="39" t="n"/>
    </row>
    <row r="57" ht="15" customHeight="1" s="22">
      <c r="A57" s="34" t="n">
        <v>53</v>
      </c>
      <c r="B57" s="35" t="inlineStr">
        <is>
          <t>データベース</t>
        </is>
      </c>
      <c r="C57" s="36" t="inlineStr">
        <is>
          <t>Amazon DocumentDB</t>
        </is>
      </c>
      <c r="D57" s="37" t="inlineStr">
        <is>
          <t>MongoDB互換のドキュメントDB</t>
        </is>
      </c>
      <c r="E57" s="37" t="inlineStr">
        <is>
          <t>MongoDBからの移行</t>
        </is>
      </c>
      <c r="F57" s="38" t="inlineStr">
        <is>
          <t>★</t>
        </is>
      </c>
      <c r="G57" s="39" t="n"/>
    </row>
    <row r="58" ht="15" customHeight="1" s="22">
      <c r="A58" s="34" t="n">
        <v>54</v>
      </c>
      <c r="B58" s="35" t="inlineStr">
        <is>
          <t>データベース</t>
        </is>
      </c>
      <c r="C58" s="36" t="inlineStr">
        <is>
          <t>Amazon Neptune</t>
        </is>
      </c>
      <c r="D58" s="35" t="inlineStr">
        <is>
          <t>グラフデータベース</t>
        </is>
      </c>
      <c r="E58" s="35" t="inlineStr">
        <is>
          <t>ソーシャルネットワーク・レコメンド・不正検知</t>
        </is>
      </c>
      <c r="F58" s="38" t="inlineStr">
        <is>
          <t>★</t>
        </is>
      </c>
      <c r="G58" s="39" t="n"/>
    </row>
    <row r="59" ht="15" customHeight="1" s="22">
      <c r="A59" s="34" t="n">
        <v>55</v>
      </c>
      <c r="B59" s="35" t="inlineStr">
        <is>
          <t>データベース</t>
        </is>
      </c>
      <c r="C59" s="36" t="inlineStr">
        <is>
          <t>Amazon Keyspaces</t>
        </is>
      </c>
      <c r="D59" s="37" t="inlineStr">
        <is>
          <t>Apache Cassandra互換のマネージドDB</t>
        </is>
      </c>
      <c r="E59" s="37" t="inlineStr">
        <is>
          <t>Cassandraからの移行</t>
        </is>
      </c>
      <c r="F59" s="38" t="inlineStr">
        <is>
          <t>★</t>
        </is>
      </c>
      <c r="G59" s="39" t="n"/>
    </row>
    <row r="60" ht="15" customHeight="1" s="22">
      <c r="A60" s="34" t="n">
        <v>56</v>
      </c>
      <c r="B60" s="35" t="inlineStr">
        <is>
          <t>データベース</t>
        </is>
      </c>
      <c r="C60" s="36" t="inlineStr">
        <is>
          <t>Amazon Timestream</t>
        </is>
      </c>
      <c r="D60" s="35" t="inlineStr">
        <is>
          <t>時系列データベース</t>
        </is>
      </c>
      <c r="E60" s="37" t="inlineStr">
        <is>
          <t>IoTセンサーデータ・メトリクスの時系列分析</t>
        </is>
      </c>
      <c r="F60" s="38" t="inlineStr">
        <is>
          <t>★</t>
        </is>
      </c>
      <c r="G60" s="39" t="n"/>
    </row>
    <row r="61" ht="29.85" customHeight="1" s="22">
      <c r="A61" s="34" t="n">
        <v>57</v>
      </c>
      <c r="B61" s="35" t="inlineStr">
        <is>
          <t>データベース</t>
        </is>
      </c>
      <c r="C61" s="36" t="inlineStr">
        <is>
          <t>Amazon QLDB</t>
        </is>
      </c>
      <c r="D61" s="35" t="inlineStr">
        <is>
          <t>改ざん不可能で、変更履歴(ジャーナル)を暗号技術で検証できる台帳データベース。2025年7月31日にサービス終了</t>
        </is>
      </c>
      <c r="E61" s="35" t="inlineStr">
        <is>
          <t>変更履歴の検証可能性が必要な場合(終了後の移行先としてはAurora PostgreSQLなどが案内されている)</t>
        </is>
      </c>
      <c r="F61" s="38" t="inlineStr">
        <is>
          <t>★</t>
        </is>
      </c>
      <c r="G61" s="39" t="n"/>
    </row>
    <row r="62" ht="15" customHeight="1" s="22">
      <c r="A62" s="34" t="n">
        <v>58</v>
      </c>
      <c r="B62" s="35" t="inlineStr">
        <is>
          <t>ネットワーク</t>
        </is>
      </c>
      <c r="C62" s="36" t="inlineStr">
        <is>
          <t>Amazon VPC</t>
        </is>
      </c>
      <c r="D62" s="37" t="inlineStr">
        <is>
          <t>AWS上の論理的に分離された仮想ネットワーク。リージョン単位</t>
        </is>
      </c>
      <c r="E62" s="35" t="inlineStr">
        <is>
          <t>ネットワーク設計の基本</t>
        </is>
      </c>
      <c r="F62" s="38" t="inlineStr">
        <is>
          <t>★★★</t>
        </is>
      </c>
      <c r="G62" s="39" t="n"/>
    </row>
    <row r="63" ht="29.85" customHeight="1" s="22">
      <c r="A63" s="34" t="n">
        <v>59</v>
      </c>
      <c r="B63" s="35" t="inlineStr">
        <is>
          <t>ネットワーク</t>
        </is>
      </c>
      <c r="C63" s="32" t="inlineStr">
        <is>
          <t>サブネット(パブリック/プライベート)</t>
        </is>
      </c>
      <c r="D63" s="37" t="inlineStr">
        <is>
          <t>VPC内のIP範囲。AZ単位。インターネットゲートウェイへのルートがあればパブリック</t>
        </is>
      </c>
      <c r="E63" s="37" t="inlineStr">
        <is>
          <t>Webはパブリック、DBはプライベートの多層構成</t>
        </is>
      </c>
      <c r="F63" s="38" t="inlineStr">
        <is>
          <t>★★★</t>
        </is>
      </c>
      <c r="G63" s="39" t="n"/>
    </row>
    <row r="64" ht="15" customHeight="1" s="22">
      <c r="A64" s="34" t="n">
        <v>60</v>
      </c>
      <c r="B64" s="35" t="inlineStr">
        <is>
          <t>ネットワーク</t>
        </is>
      </c>
      <c r="C64" s="32" t="inlineStr">
        <is>
          <t>インターネットゲートウェイ(IGW)</t>
        </is>
      </c>
      <c r="D64" s="37" t="inlineStr">
        <is>
          <t>VPCとインターネットの双方向通信を可能にする</t>
        </is>
      </c>
      <c r="E64" s="35" t="inlineStr">
        <is>
          <t>パブリックサブネットに必須</t>
        </is>
      </c>
      <c r="F64" s="38" t="inlineStr">
        <is>
          <t>★★★</t>
        </is>
      </c>
      <c r="G64" s="39" t="n"/>
    </row>
    <row r="65" ht="29.85" customHeight="1" s="22">
      <c r="A65" s="34" t="n">
        <v>61</v>
      </c>
      <c r="B65" s="35" t="inlineStr">
        <is>
          <t>ネットワーク</t>
        </is>
      </c>
      <c r="C65" s="36" t="inlineStr">
        <is>
          <t>NATゲートウェイ</t>
        </is>
      </c>
      <c r="D65" s="35" t="inlineStr">
        <is>
          <t>プライベートサブネットからインターネットへの送信のみを可能にする。AZ単位のマネージドサービス</t>
        </is>
      </c>
      <c r="E65" s="35" t="inlineStr">
        <is>
          <t>可用性のため各AZに配置。IPv6の送信専用はEgress-only IGW</t>
        </is>
      </c>
      <c r="F65" s="38" t="inlineStr">
        <is>
          <t>★★★</t>
        </is>
      </c>
      <c r="G65" s="39" t="n"/>
    </row>
    <row r="66" ht="29.85" customHeight="1" s="22">
      <c r="A66" s="34" t="n">
        <v>62</v>
      </c>
      <c r="B66" s="35" t="inlineStr">
        <is>
          <t>ネットワーク</t>
        </is>
      </c>
      <c r="C66" s="32" t="inlineStr">
        <is>
          <t>セキュリティグループ</t>
        </is>
      </c>
      <c r="D66" s="35" t="inlineStr">
        <is>
          <t>インスタンス(ENI)単位のファイアウォール。ステートフル、許可ルールのみ</t>
        </is>
      </c>
      <c r="E66" s="37" t="inlineStr">
        <is>
          <t>SGをソースに指定して層間通信を制御</t>
        </is>
      </c>
      <c r="F66" s="38" t="inlineStr">
        <is>
          <t>★★★</t>
        </is>
      </c>
      <c r="G66" s="39" t="n"/>
    </row>
    <row r="67" ht="29.85" customHeight="1" s="22">
      <c r="A67" s="34" t="n">
        <v>63</v>
      </c>
      <c r="B67" s="35" t="inlineStr">
        <is>
          <t>ネットワーク</t>
        </is>
      </c>
      <c r="C67" s="32" t="inlineStr">
        <is>
          <t>ネットワークACL</t>
        </is>
      </c>
      <c r="D67" s="35" t="inlineStr">
        <is>
          <t>サブネット単位のファイアウォール。ステートレス、許可/拒否ルール、番号順に評価</t>
        </is>
      </c>
      <c r="E67" s="35" t="inlineStr">
        <is>
          <t>特定IPのブロック→NACLの拒否ルール。戻り通信(エフェメラルポート)の許可が必要</t>
        </is>
      </c>
      <c r="F67" s="38" t="inlineStr">
        <is>
          <t>★★★</t>
        </is>
      </c>
      <c r="G67" s="39" t="n"/>
    </row>
    <row r="68" ht="29.85" customHeight="1" s="22">
      <c r="A68" s="34" t="n">
        <v>64</v>
      </c>
      <c r="B68" s="35" t="inlineStr">
        <is>
          <t>ネットワーク</t>
        </is>
      </c>
      <c r="C68" s="36" t="inlineStr">
        <is>
          <t>VPCピアリング</t>
        </is>
      </c>
      <c r="D68" s="37" t="inlineStr">
        <is>
          <t>2つのVPCをプライベート接続。推移的ルーティング不可、CIDR重複不可</t>
        </is>
      </c>
      <c r="E68" s="35" t="inlineStr">
        <is>
          <t>少数VPC間の接続。多数ならTransit Gateway</t>
        </is>
      </c>
      <c r="F68" s="38" t="inlineStr">
        <is>
          <t>★★</t>
        </is>
      </c>
      <c r="G68" s="39" t="n"/>
    </row>
    <row r="69" ht="15" customHeight="1" s="22">
      <c r="A69" s="34" t="n">
        <v>65</v>
      </c>
      <c r="B69" s="35" t="inlineStr">
        <is>
          <t>ネットワーク</t>
        </is>
      </c>
      <c r="C69" s="36" t="inlineStr">
        <is>
          <t>AWS Transit Gateway</t>
        </is>
      </c>
      <c r="D69" s="35" t="inlineStr">
        <is>
          <t>多数のVPCとオンプレミスをハブ&amp;スポークで接続</t>
        </is>
      </c>
      <c r="E69" s="37" t="inlineStr">
        <is>
          <t>VPC数が多い・推移的接続が必要な場合</t>
        </is>
      </c>
      <c r="F69" s="38" t="inlineStr">
        <is>
          <t>★★★</t>
        </is>
      </c>
      <c r="G69" s="39" t="n"/>
    </row>
    <row r="70" ht="29.85" customHeight="1" s="22">
      <c r="A70" s="34" t="n">
        <v>66</v>
      </c>
      <c r="B70" s="35" t="inlineStr">
        <is>
          <t>ネットワーク</t>
        </is>
      </c>
      <c r="C70" s="36" t="inlineStr">
        <is>
          <t>VPCエンドポイント(ゲートウェイ型)</t>
        </is>
      </c>
      <c r="D70" s="37" t="inlineStr">
        <is>
          <t>S3・DynamoDBへインターネットを経由せずプライベート接続。無料</t>
        </is>
      </c>
      <c r="E70" s="35" t="inlineStr">
        <is>
          <t>プライベートサブネットからS3へのアクセス(NAT費用削減)</t>
        </is>
      </c>
      <c r="F70" s="38" t="inlineStr">
        <is>
          <t>★★★</t>
        </is>
      </c>
      <c r="G70" s="39" t="n"/>
    </row>
    <row r="71" ht="29.85" customHeight="1" s="22">
      <c r="A71" s="34" t="n">
        <v>67</v>
      </c>
      <c r="B71" s="35" t="inlineStr">
        <is>
          <t>ネットワーク</t>
        </is>
      </c>
      <c r="C71" s="36" t="inlineStr">
        <is>
          <t>VPCエンドポイント(インターフェイス型)/ PrivateLink</t>
        </is>
      </c>
      <c r="D71" s="37" t="inlineStr">
        <is>
          <t>ENI経由で多くのAWSサービスやSaaSへプライベート接続</t>
        </is>
      </c>
      <c r="E71" s="35" t="inlineStr">
        <is>
          <t>他VPCのサービスを公開したい・インターネットを経由させたくない</t>
        </is>
      </c>
      <c r="F71" s="38" t="inlineStr">
        <is>
          <t>★★★</t>
        </is>
      </c>
      <c r="G71" s="39" t="n"/>
    </row>
    <row r="72" ht="15" customHeight="1" s="22">
      <c r="A72" s="34" t="n">
        <v>68</v>
      </c>
      <c r="B72" s="35" t="inlineStr">
        <is>
          <t>ネットワーク</t>
        </is>
      </c>
      <c r="C72" s="36" t="inlineStr">
        <is>
          <t>AWS Site-to-Site VPN</t>
        </is>
      </c>
      <c r="D72" s="35" t="inlineStr">
        <is>
          <t>インターネット経由のIPsec暗号化トンネルでオンプレと接続</t>
        </is>
      </c>
      <c r="E72" s="35" t="inlineStr">
        <is>
          <t>素早く安価に接続、Direct Connectのバックアップ</t>
        </is>
      </c>
      <c r="F72" s="38" t="inlineStr">
        <is>
          <t>★★</t>
        </is>
      </c>
      <c r="G72" s="39" t="n"/>
    </row>
    <row r="73" ht="29.85" customHeight="1" s="22">
      <c r="A73" s="34" t="n">
        <v>69</v>
      </c>
      <c r="B73" s="35" t="inlineStr">
        <is>
          <t>ネットワーク</t>
        </is>
      </c>
      <c r="C73" s="36" t="inlineStr">
        <is>
          <t>AWS Direct Connect</t>
        </is>
      </c>
      <c r="D73" s="35" t="inlineStr">
        <is>
          <t>オンプレとAWSを専用線で接続。安定した帯域・低レイテンシ</t>
        </is>
      </c>
      <c r="E73" s="35" t="inlineStr">
        <is>
          <t>大容量・安定通信。開通まで数週間かかる。暗号化が必要ならVPNを併用</t>
        </is>
      </c>
      <c r="F73" s="38" t="inlineStr">
        <is>
          <t>★★★</t>
        </is>
      </c>
      <c r="G73" s="39" t="n"/>
    </row>
    <row r="74" ht="15" customHeight="1" s="22">
      <c r="A74" s="34" t="n">
        <v>70</v>
      </c>
      <c r="B74" s="35" t="inlineStr">
        <is>
          <t>ネットワーク</t>
        </is>
      </c>
      <c r="C74" s="36" t="inlineStr">
        <is>
          <t>VPCフローログ</t>
        </is>
      </c>
      <c r="D74" s="37" t="inlineStr">
        <is>
          <t>VPC・サブネット・ENIのIPトラフィック情報を記録</t>
        </is>
      </c>
      <c r="E74" s="35" t="inlineStr">
        <is>
          <t>通信のトラブルシューティング・セキュリティ分析</t>
        </is>
      </c>
      <c r="F74" s="38" t="inlineStr">
        <is>
          <t>★★</t>
        </is>
      </c>
      <c r="G74" s="39" t="n"/>
    </row>
    <row r="75" ht="15" customHeight="1" s="22">
      <c r="A75" s="34" t="n">
        <v>71</v>
      </c>
      <c r="B75" s="35" t="inlineStr">
        <is>
          <t>ネットワーク</t>
        </is>
      </c>
      <c r="C75" s="36" t="inlineStr">
        <is>
          <t>Elastic IP</t>
        </is>
      </c>
      <c r="D75" s="35" t="inlineStr">
        <is>
          <t>固定のパブリックIPv4アドレス</t>
        </is>
      </c>
      <c r="E75" s="35" t="inlineStr">
        <is>
          <t>固定IPが必要な場合(未使用時も課金)</t>
        </is>
      </c>
      <c r="F75" s="38" t="inlineStr">
        <is>
          <t>★</t>
        </is>
      </c>
      <c r="G75" s="39" t="n"/>
    </row>
    <row r="76" ht="15" customHeight="1" s="22">
      <c r="A76" s="34" t="n">
        <v>72</v>
      </c>
      <c r="B76" s="35" t="inlineStr">
        <is>
          <t>ネットワーク</t>
        </is>
      </c>
      <c r="C76" s="36" t="inlineStr">
        <is>
          <t>Elastic Load Balancing(ELB)</t>
        </is>
      </c>
      <c r="D76" s="35" t="inlineStr">
        <is>
          <t>トラフィックを複数ターゲットへ分散するマネージドLB</t>
        </is>
      </c>
      <c r="E76" s="37" t="inlineStr">
        <is>
          <t>ALB/NLB/GWLBの使い分け</t>
        </is>
      </c>
      <c r="F76" s="38" t="inlineStr">
        <is>
          <t>★★★</t>
        </is>
      </c>
      <c r="G76" s="39" t="n"/>
    </row>
    <row r="77" ht="29.85" customHeight="1" s="22">
      <c r="A77" s="34" t="n">
        <v>73</v>
      </c>
      <c r="B77" s="35" t="inlineStr">
        <is>
          <t>ネットワーク</t>
        </is>
      </c>
      <c r="C77" s="36" t="inlineStr">
        <is>
          <t>Application Load Balancer(ALB)</t>
        </is>
      </c>
      <c r="D77" s="37" t="inlineStr">
        <is>
          <t>L7。パス・ホスト・ヘッダーによるルーティング、HTTP/HTTPS、Lambdaもターゲット可</t>
        </is>
      </c>
      <c r="E77" s="35" t="inlineStr">
        <is>
          <t>マイクロサービス・パスベースルーティング・WAF連携</t>
        </is>
      </c>
      <c r="F77" s="38" t="inlineStr">
        <is>
          <t>★★★</t>
        </is>
      </c>
      <c r="G77" s="39" t="n"/>
    </row>
    <row r="78" ht="29.85" customHeight="1" s="22">
      <c r="A78" s="34" t="n">
        <v>74</v>
      </c>
      <c r="B78" s="35" t="inlineStr">
        <is>
          <t>ネットワーク</t>
        </is>
      </c>
      <c r="C78" s="36" t="inlineStr">
        <is>
          <t>Network Load Balancer(NLB)</t>
        </is>
      </c>
      <c r="D78" s="37" t="inlineStr">
        <is>
          <t>L4(TCP/UDP)。超低レイテンシ・高スループット、固定IP(Elastic IP)を持てる</t>
        </is>
      </c>
      <c r="E78" s="35" t="inlineStr">
        <is>
          <t>固定IPが必要、UDP、極めて高い性能要件</t>
        </is>
      </c>
      <c r="F78" s="38" t="inlineStr">
        <is>
          <t>★★★</t>
        </is>
      </c>
      <c r="G78" s="39" t="n"/>
    </row>
    <row r="79" ht="29.85" customHeight="1" s="22">
      <c r="A79" s="34" t="n">
        <v>75</v>
      </c>
      <c r="B79" s="35" t="inlineStr">
        <is>
          <t>ネットワーク</t>
        </is>
      </c>
      <c r="C79" s="36" t="inlineStr">
        <is>
          <t>Gateway Load Balancer(GWLB)</t>
        </is>
      </c>
      <c r="D79" s="35" t="inlineStr">
        <is>
          <t>サードパーティ製の仮想アプライアンス(ファイアウォール等)へトラフィックを分散</t>
        </is>
      </c>
      <c r="E79" s="35" t="inlineStr">
        <is>
          <t>セキュリティアプライアンスの透過的な挿入</t>
        </is>
      </c>
      <c r="F79" s="38" t="inlineStr">
        <is>
          <t>★</t>
        </is>
      </c>
      <c r="G79" s="39" t="n"/>
    </row>
    <row r="80" ht="15" customHeight="1" s="22">
      <c r="A80" s="34" t="n">
        <v>76</v>
      </c>
      <c r="B80" s="35" t="inlineStr">
        <is>
          <t>ネットワーク</t>
        </is>
      </c>
      <c r="C80" s="36" t="inlineStr">
        <is>
          <t>Amazon Route 53</t>
        </is>
      </c>
      <c r="D80" s="35" t="inlineStr">
        <is>
          <t>マネージドDNS。ヘルスチェックとルーティングポリシーを持つ</t>
        </is>
      </c>
      <c r="E80" s="37" t="inlineStr">
        <is>
          <t>DNSフェイルオーバー・Alias レコード(Zone Apexに可)</t>
        </is>
      </c>
      <c r="F80" s="38" t="inlineStr">
        <is>
          <t>★★★</t>
        </is>
      </c>
      <c r="G80" s="39" t="n"/>
    </row>
    <row r="81" ht="29.85" customHeight="1" s="22">
      <c r="A81" s="34" t="n">
        <v>77</v>
      </c>
      <c r="B81" s="35" t="inlineStr">
        <is>
          <t>ネットワーク</t>
        </is>
      </c>
      <c r="C81" s="36" t="inlineStr">
        <is>
          <t>Route 53ルーティングポリシー</t>
        </is>
      </c>
      <c r="D81" s="35" t="inlineStr">
        <is>
          <t>シンプル/加重/レイテンシー/フェイルオーバー/位置情報/地理的近接性/複数値回答</t>
        </is>
      </c>
      <c r="E81" s="35" t="inlineStr">
        <is>
          <t>アクティブ-パッシブDR→フェイルオーバー、A/Bテスト→加重、国別出し分け→位置情報</t>
        </is>
      </c>
      <c r="F81" s="38" t="inlineStr">
        <is>
          <t>★★★</t>
        </is>
      </c>
      <c r="G81" s="39" t="n"/>
    </row>
    <row r="82" ht="29.85" customHeight="1" s="22">
      <c r="A82" s="34" t="n">
        <v>78</v>
      </c>
      <c r="B82" s="35" t="inlineStr">
        <is>
          <t>ネットワーク</t>
        </is>
      </c>
      <c r="C82" s="36" t="inlineStr">
        <is>
          <t>Amazon CloudFront</t>
        </is>
      </c>
      <c r="D82" s="37" t="inlineStr">
        <is>
          <t>CDN。世界中のエッジロケーションでコンテンツをキャッシュ配信</t>
        </is>
      </c>
      <c r="E82" s="35" t="inlineStr">
        <is>
          <t>静的/動的コンテンツの高速化。S3オリジンにはOAC(旧OAI)で直接アクセスを禁止</t>
        </is>
      </c>
      <c r="F82" s="38" t="inlineStr">
        <is>
          <t>★★★</t>
        </is>
      </c>
      <c r="G82" s="39" t="n"/>
    </row>
    <row r="83" ht="29.85" customHeight="1" s="22">
      <c r="A83" s="34" t="n">
        <v>79</v>
      </c>
      <c r="B83" s="35" t="inlineStr">
        <is>
          <t>ネットワーク</t>
        </is>
      </c>
      <c r="C83" s="36" t="inlineStr">
        <is>
          <t>AWS Global Accelerator</t>
        </is>
      </c>
      <c r="D83" s="37" t="inlineStr">
        <is>
          <t>AWSのグローバルネットワーク経由でトラフィックを最適化。固定エニーキャストIPを2つ提供</t>
        </is>
      </c>
      <c r="E83" s="37" t="inlineStr">
        <is>
          <t>TCP/UDPアプリの高速化・固定IP・高速なリージョンフェイルオーバー。キャッシュはしない</t>
        </is>
      </c>
      <c r="F83" s="38" t="inlineStr">
        <is>
          <t>★★</t>
        </is>
      </c>
      <c r="G83" s="39" t="n"/>
    </row>
    <row r="84" ht="15" customHeight="1" s="22">
      <c r="A84" s="34" t="n">
        <v>80</v>
      </c>
      <c r="B84" s="35" t="inlineStr">
        <is>
          <t>セキュリティ</t>
        </is>
      </c>
      <c r="C84" s="36" t="inlineStr">
        <is>
          <t>AWS IAM</t>
        </is>
      </c>
      <c r="D84" s="35" t="inlineStr">
        <is>
          <t>ユーザー・グループ・ロール・ポリシーでアクセス制御</t>
        </is>
      </c>
      <c r="E84" s="35" t="inlineStr">
        <is>
          <t>最小権限の原則。明示的Denyが常に優先</t>
        </is>
      </c>
      <c r="F84" s="38" t="inlineStr">
        <is>
          <t>★★★</t>
        </is>
      </c>
      <c r="G84" s="39" t="n"/>
    </row>
    <row r="85" ht="29.85" customHeight="1" s="22">
      <c r="A85" s="34" t="n">
        <v>81</v>
      </c>
      <c r="B85" s="35" t="inlineStr">
        <is>
          <t>セキュリティ</t>
        </is>
      </c>
      <c r="C85" s="36" t="inlineStr">
        <is>
          <t>IAMロール</t>
        </is>
      </c>
      <c r="D85" s="35" t="inlineStr">
        <is>
          <t>一時的な認証情報を付与する仕組み。EC2・Lambda・他アカウントが引き受ける</t>
        </is>
      </c>
      <c r="E85" s="37" t="inlineStr">
        <is>
          <t>EC2にアクセスキーを置かずロールを使う、クロスアカウントアクセス</t>
        </is>
      </c>
      <c r="F85" s="38" t="inlineStr">
        <is>
          <t>★★★</t>
        </is>
      </c>
      <c r="G85" s="39" t="n"/>
    </row>
    <row r="86" ht="29.85" customHeight="1" s="22">
      <c r="A86" s="34" t="n">
        <v>82</v>
      </c>
      <c r="B86" s="35" t="inlineStr">
        <is>
          <t>セキュリティ</t>
        </is>
      </c>
      <c r="C86" s="36" t="inlineStr">
        <is>
          <t>IAMポリシー評価</t>
        </is>
      </c>
      <c r="D86" s="35" t="inlineStr">
        <is>
          <t>明示的Deny &gt; 明示的Allow &gt; 暗黙的Deny。アイデンティティベースとリソースベースがある</t>
        </is>
      </c>
      <c r="E86" s="37" t="inlineStr">
        <is>
          <t>S3バケットポリシーなどリソースベースポリシーとの組み合わせ</t>
        </is>
      </c>
      <c r="F86" s="38" t="inlineStr">
        <is>
          <t>★★</t>
        </is>
      </c>
      <c r="G86" s="39" t="n"/>
    </row>
    <row r="87" ht="15" customHeight="1" s="22">
      <c r="A87" s="34" t="n">
        <v>83</v>
      </c>
      <c r="B87" s="35" t="inlineStr">
        <is>
          <t>セキュリティ</t>
        </is>
      </c>
      <c r="C87" s="36" t="inlineStr">
        <is>
          <t>AWS STS</t>
        </is>
      </c>
      <c r="D87" s="35" t="inlineStr">
        <is>
          <t>一時的なセキュリティ認証情報を発行(AssumeRole等)</t>
        </is>
      </c>
      <c r="E87" s="35" t="inlineStr">
        <is>
          <t>クロスアカウント・フェデレーション</t>
        </is>
      </c>
      <c r="F87" s="38" t="inlineStr">
        <is>
          <t>★★</t>
        </is>
      </c>
      <c r="G87" s="39" t="n"/>
    </row>
    <row r="88" ht="15" customHeight="1" s="22">
      <c r="A88" s="34" t="n">
        <v>84</v>
      </c>
      <c r="B88" s="35" t="inlineStr">
        <is>
          <t>セキュリティ</t>
        </is>
      </c>
      <c r="C88" s="36" t="inlineStr">
        <is>
          <t>AWS Organizations</t>
        </is>
      </c>
      <c r="D88" s="35" t="inlineStr">
        <is>
          <t>複数アカウントを一元管理。一括請求、OU単位での管理</t>
        </is>
      </c>
      <c r="E88" s="35" t="inlineStr">
        <is>
          <t>マルチアカウント管理・ボリュームディスカウント</t>
        </is>
      </c>
      <c r="F88" s="38" t="inlineStr">
        <is>
          <t>★★★</t>
        </is>
      </c>
      <c r="G88" s="39" t="n"/>
    </row>
    <row r="89" ht="29.85" customHeight="1" s="22">
      <c r="A89" s="34" t="n">
        <v>85</v>
      </c>
      <c r="B89" s="35" t="inlineStr">
        <is>
          <t>セキュリティ</t>
        </is>
      </c>
      <c r="C89" s="32" t="inlineStr">
        <is>
          <t>サービスコントロールポリシー(SCP)</t>
        </is>
      </c>
      <c r="D89" s="37" t="inlineStr">
        <is>
          <t>Organizations内アカウントの最大権限を制限するガードレール(権限は付与しない)</t>
        </is>
      </c>
      <c r="E89" s="35" t="inlineStr">
        <is>
          <t>「ルートユーザー含め特定リージョン/サービスを禁止」→SCP</t>
        </is>
      </c>
      <c r="F89" s="38" t="inlineStr">
        <is>
          <t>★★★</t>
        </is>
      </c>
      <c r="G89" s="39" t="n"/>
    </row>
    <row r="90" ht="15" customHeight="1" s="22">
      <c r="A90" s="34" t="n">
        <v>86</v>
      </c>
      <c r="B90" s="35" t="inlineStr">
        <is>
          <t>セキュリティ</t>
        </is>
      </c>
      <c r="C90" s="36" t="inlineStr">
        <is>
          <t>AWS IAM Identity Center</t>
        </is>
      </c>
      <c r="D90" s="35" t="inlineStr">
        <is>
          <t>旧AWS SSO。複数アカウントへのシングルサインオンを一元管理</t>
        </is>
      </c>
      <c r="E90" s="35" t="inlineStr">
        <is>
          <t>マルチアカウントへのSSO、既存IdP/AD連携</t>
        </is>
      </c>
      <c r="F90" s="38" t="inlineStr">
        <is>
          <t>★★</t>
        </is>
      </c>
      <c r="G90" s="39" t="n"/>
    </row>
    <row r="91" ht="29.85" customHeight="1" s="22">
      <c r="A91" s="34" t="n">
        <v>87</v>
      </c>
      <c r="B91" s="35" t="inlineStr">
        <is>
          <t>セキュリティ</t>
        </is>
      </c>
      <c r="C91" s="36" t="inlineStr">
        <is>
          <t>Amazon Cognito</t>
        </is>
      </c>
      <c r="D91" s="37" t="inlineStr">
        <is>
          <t>Web/モバイルアプリのユーザー認証。ユーザープール(認証)とIDプール(AWS認証情報の付与)</t>
        </is>
      </c>
      <c r="E91" s="35" t="inlineStr">
        <is>
          <t>アプリのサインアップ/サインイン、ソーシャルログイン</t>
        </is>
      </c>
      <c r="F91" s="38" t="inlineStr">
        <is>
          <t>★★</t>
        </is>
      </c>
      <c r="G91" s="39" t="n"/>
    </row>
    <row r="92" ht="15" customHeight="1" s="22">
      <c r="A92" s="34" t="n">
        <v>88</v>
      </c>
      <c r="B92" s="35" t="inlineStr">
        <is>
          <t>セキュリティ</t>
        </is>
      </c>
      <c r="C92" s="36" t="inlineStr">
        <is>
          <t>AWS Directory Service</t>
        </is>
      </c>
      <c r="D92" s="35" t="inlineStr">
        <is>
          <t>マネージドMicrosoft AD、AD Connector(オンプレADへのプロキシ)</t>
        </is>
      </c>
      <c r="E92" s="35" t="inlineStr">
        <is>
          <t>オンプレADとの連携</t>
        </is>
      </c>
      <c r="F92" s="38" t="inlineStr">
        <is>
          <t>★</t>
        </is>
      </c>
      <c r="G92" s="39" t="n"/>
    </row>
    <row r="93" ht="15" customHeight="1" s="22">
      <c r="A93" s="34" t="n">
        <v>89</v>
      </c>
      <c r="B93" s="35" t="inlineStr">
        <is>
          <t>セキュリティ</t>
        </is>
      </c>
      <c r="C93" s="36" t="inlineStr">
        <is>
          <t>AWS KMS</t>
        </is>
      </c>
      <c r="D93" s="35" t="inlineStr">
        <is>
          <t>暗号化キーの作成・管理。AWS管理キーとカスタマー管理キー</t>
        </is>
      </c>
      <c r="E93" s="35" t="inlineStr">
        <is>
          <t>保存データの暗号化。キーローテーション・キーポリシー</t>
        </is>
      </c>
      <c r="F93" s="38" t="inlineStr">
        <is>
          <t>★★★</t>
        </is>
      </c>
      <c r="G93" s="39" t="n"/>
    </row>
    <row r="94" ht="29.85" customHeight="1" s="22">
      <c r="A94" s="34" t="n">
        <v>90</v>
      </c>
      <c r="B94" s="35" t="inlineStr">
        <is>
          <t>セキュリティ</t>
        </is>
      </c>
      <c r="C94" s="36" t="inlineStr">
        <is>
          <t>AWS CloudHSM</t>
        </is>
      </c>
      <c r="D94" s="35" t="inlineStr">
        <is>
          <t>専有ハードウェアセキュリティモジュール(FIPS 140-3 レベル3)</t>
        </is>
      </c>
      <c r="E94" s="35" t="inlineStr">
        <is>
          <t>キーを顧客が完全管理する必要がある厳格なコンプライアンス</t>
        </is>
      </c>
      <c r="F94" s="38" t="inlineStr">
        <is>
          <t>★★</t>
        </is>
      </c>
      <c r="G94" s="39" t="n"/>
    </row>
    <row r="95" ht="15" customHeight="1" s="22">
      <c r="A95" s="34" t="n">
        <v>91</v>
      </c>
      <c r="B95" s="35" t="inlineStr">
        <is>
          <t>セキュリティ</t>
        </is>
      </c>
      <c r="C95" s="36" t="inlineStr">
        <is>
          <t>AWS Secrets Manager</t>
        </is>
      </c>
      <c r="D95" s="37" t="inlineStr">
        <is>
          <t>DB認証情報などのシークレットを保存し自動ローテーション</t>
        </is>
      </c>
      <c r="E95" s="35" t="inlineStr">
        <is>
          <t>パスワードの自動ローテーション→Secrets Manager</t>
        </is>
      </c>
      <c r="F95" s="38" t="inlineStr">
        <is>
          <t>★★★</t>
        </is>
      </c>
      <c r="G95" s="39" t="n"/>
    </row>
    <row r="96" ht="26.85" customHeight="1" s="22">
      <c r="A96" s="34" t="n">
        <v>92</v>
      </c>
      <c r="B96" s="35" t="inlineStr">
        <is>
          <t>セキュリティ</t>
        </is>
      </c>
      <c r="C96" s="36" t="inlineStr">
        <is>
          <t>Systems Manager Parameter Store</t>
        </is>
      </c>
      <c r="D96" s="35" t="inlineStr">
        <is>
          <t>設定値やシークレットを階層的に保存(標準は無料)</t>
        </is>
      </c>
      <c r="E96" s="35" t="inlineStr">
        <is>
          <t>設定値管理。自動ローテーションが必要ならSecrets Manager</t>
        </is>
      </c>
      <c r="F96" s="38" t="inlineStr">
        <is>
          <t>★★</t>
        </is>
      </c>
      <c r="G96" s="39" t="n"/>
    </row>
    <row r="97" ht="15" customHeight="1" s="22">
      <c r="A97" s="34" t="n">
        <v>93</v>
      </c>
      <c r="B97" s="35" t="inlineStr">
        <is>
          <t>セキュリティ</t>
        </is>
      </c>
      <c r="C97" s="36" t="inlineStr">
        <is>
          <t>AWS Certificate Manager(ACM)</t>
        </is>
      </c>
      <c r="D97" s="37" t="inlineStr">
        <is>
          <t>SSL/TLS証明書の発行・管理・自動更新</t>
        </is>
      </c>
      <c r="E97" s="37" t="inlineStr">
        <is>
          <t>ALB・CloudFrontでのHTTPS化</t>
        </is>
      </c>
      <c r="F97" s="38" t="inlineStr">
        <is>
          <t>★★</t>
        </is>
      </c>
      <c r="G97" s="39" t="n"/>
    </row>
    <row r="98" ht="29.85" customHeight="1" s="22">
      <c r="A98" s="34" t="n">
        <v>94</v>
      </c>
      <c r="B98" s="35" t="inlineStr">
        <is>
          <t>セキュリティ</t>
        </is>
      </c>
      <c r="C98" s="36" t="inlineStr">
        <is>
          <t>AWS WAF</t>
        </is>
      </c>
      <c r="D98" s="37" t="inlineStr">
        <is>
          <t>Webアプリケーションファイアウォール。SQLインジェクション・XSS・レート制限</t>
        </is>
      </c>
      <c r="E98" s="37" t="inlineStr">
        <is>
          <t>ALB・CloudFront・API Gatewayに適用。L7攻撃対策</t>
        </is>
      </c>
      <c r="F98" s="38" t="inlineStr">
        <is>
          <t>★★★</t>
        </is>
      </c>
      <c r="G98" s="39" t="n"/>
    </row>
    <row r="99" ht="29.85" customHeight="1" s="22">
      <c r="A99" s="34" t="n">
        <v>95</v>
      </c>
      <c r="B99" s="35" t="inlineStr">
        <is>
          <t>セキュリティ</t>
        </is>
      </c>
      <c r="C99" s="36" t="inlineStr">
        <is>
          <t>AWS Shield</t>
        </is>
      </c>
      <c r="D99" s="37" t="inlineStr">
        <is>
          <t>DDoS防御。Standard(自動・無料)とAdvanced(有料・DRTサポート・コスト保護)</t>
        </is>
      </c>
      <c r="E99" s="35" t="inlineStr">
        <is>
          <t>大規模DDoS対策→Shield Advanced</t>
        </is>
      </c>
      <c r="F99" s="38" t="inlineStr">
        <is>
          <t>★★</t>
        </is>
      </c>
      <c r="G99" s="39" t="n"/>
    </row>
    <row r="100" ht="15" customHeight="1" s="22">
      <c r="A100" s="34" t="n">
        <v>96</v>
      </c>
      <c r="B100" s="35" t="inlineStr">
        <is>
          <t>セキュリティ</t>
        </is>
      </c>
      <c r="C100" s="36" t="inlineStr">
        <is>
          <t>AWS Firewall Manager</t>
        </is>
      </c>
      <c r="D100" s="35" t="inlineStr">
        <is>
          <t>複数アカウントのWAF・Shield・SGルールを一元管理</t>
        </is>
      </c>
      <c r="E100" s="37" t="inlineStr">
        <is>
          <t>Organizations全体でのセキュリティルール統一</t>
        </is>
      </c>
      <c r="F100" s="38" t="inlineStr">
        <is>
          <t>★</t>
        </is>
      </c>
      <c r="G100" s="39" t="n"/>
    </row>
    <row r="101" ht="15" customHeight="1" s="22">
      <c r="A101" s="34" t="n">
        <v>97</v>
      </c>
      <c r="B101" s="35" t="inlineStr">
        <is>
          <t>セキュリティ</t>
        </is>
      </c>
      <c r="C101" s="36" t="inlineStr">
        <is>
          <t>AWS Network Firewall</t>
        </is>
      </c>
      <c r="D101" s="37" t="inlineStr">
        <is>
          <t>VPC向けのマネージドネットワークファイアウォール</t>
        </is>
      </c>
      <c r="E101" s="37" t="inlineStr">
        <is>
          <t>VPCレベルでのトラフィックフィルタリング・IDS/IPS</t>
        </is>
      </c>
      <c r="F101" s="38" t="inlineStr">
        <is>
          <t>★</t>
        </is>
      </c>
      <c r="G101" s="39" t="n"/>
    </row>
    <row r="102" ht="15" customHeight="1" s="22">
      <c r="A102" s="34" t="n">
        <v>98</v>
      </c>
      <c r="B102" s="35" t="inlineStr">
        <is>
          <t>セキュリティ</t>
        </is>
      </c>
      <c r="C102" s="36" t="inlineStr">
        <is>
          <t>Amazon GuardDuty</t>
        </is>
      </c>
      <c r="D102" s="35" t="inlineStr">
        <is>
          <t>ログ(CloudTrail、VPCフローログ、DNS)を機械学習で分析する脅威検出</t>
        </is>
      </c>
      <c r="E102" s="35" t="inlineStr">
        <is>
          <t>不審なアクティビティの検出</t>
        </is>
      </c>
      <c r="F102" s="38" t="inlineStr">
        <is>
          <t>★★</t>
        </is>
      </c>
      <c r="G102" s="39" t="n"/>
    </row>
    <row r="103" ht="15" customHeight="1" s="22">
      <c r="A103" s="34" t="n">
        <v>99</v>
      </c>
      <c r="B103" s="35" t="inlineStr">
        <is>
          <t>セキュリティ</t>
        </is>
      </c>
      <c r="C103" s="36" t="inlineStr">
        <is>
          <t>Amazon Inspector</t>
        </is>
      </c>
      <c r="D103" s="37" t="inlineStr">
        <is>
          <t>EC2・コンテナイメージ・Lambdaの脆弱性を自動スキャン</t>
        </is>
      </c>
      <c r="E103" s="35" t="inlineStr">
        <is>
          <t>ソフトウェア脆弱性・意図しないネットワーク露出の検出</t>
        </is>
      </c>
      <c r="F103" s="38" t="inlineStr">
        <is>
          <t>★★</t>
        </is>
      </c>
      <c r="G103" s="39" t="n"/>
    </row>
    <row r="104" ht="15" customHeight="1" s="22">
      <c r="A104" s="34" t="n">
        <v>100</v>
      </c>
      <c r="B104" s="35" t="inlineStr">
        <is>
          <t>セキュリティ</t>
        </is>
      </c>
      <c r="C104" s="36" t="inlineStr">
        <is>
          <t>Amazon Macie</t>
        </is>
      </c>
      <c r="D104" s="35" t="inlineStr">
        <is>
          <t>機械学習でS3内の機密データ(個人情報など)を検出</t>
        </is>
      </c>
      <c r="E104" s="37" t="inlineStr">
        <is>
          <t>S3のPII検出</t>
        </is>
      </c>
      <c r="F104" s="38" t="inlineStr">
        <is>
          <t>★★</t>
        </is>
      </c>
      <c r="G104" s="39" t="n"/>
    </row>
    <row r="105" ht="15" customHeight="1" s="22">
      <c r="A105" s="34" t="n">
        <v>101</v>
      </c>
      <c r="B105" s="35" t="inlineStr">
        <is>
          <t>セキュリティ</t>
        </is>
      </c>
      <c r="C105" s="36" t="inlineStr">
        <is>
          <t>AWS Security Hub</t>
        </is>
      </c>
      <c r="D105" s="35" t="inlineStr">
        <is>
          <t>セキュリティアラートとコンプライアンス状況を一元集約</t>
        </is>
      </c>
      <c r="E105" s="35" t="inlineStr">
        <is>
          <t>複数のセキュリティサービスの結果を統合表示</t>
        </is>
      </c>
      <c r="F105" s="38" t="inlineStr">
        <is>
          <t>★</t>
        </is>
      </c>
      <c r="G105" s="39" t="n"/>
    </row>
    <row r="106" ht="15" customHeight="1" s="22">
      <c r="A106" s="34" t="n">
        <v>102</v>
      </c>
      <c r="B106" s="35" t="inlineStr">
        <is>
          <t>セキュリティ</t>
        </is>
      </c>
      <c r="C106" s="36" t="inlineStr">
        <is>
          <t>Amazon Detective</t>
        </is>
      </c>
      <c r="D106" s="35" t="inlineStr">
        <is>
          <t>セキュリティ調査のための根本原因分析</t>
        </is>
      </c>
      <c r="E106" s="37" t="inlineStr">
        <is>
          <t>GuardDutyの検出結果の深掘り</t>
        </is>
      </c>
      <c r="F106" s="38" t="inlineStr">
        <is>
          <t>★</t>
        </is>
      </c>
      <c r="G106" s="39" t="n"/>
    </row>
    <row r="107" ht="29.85" customHeight="1" s="22">
      <c r="A107" s="34" t="n">
        <v>103</v>
      </c>
      <c r="B107" s="35" t="inlineStr">
        <is>
          <t>アプリケーション統合</t>
        </is>
      </c>
      <c r="C107" s="36" t="inlineStr">
        <is>
          <t>Amazon SQS</t>
        </is>
      </c>
      <c r="D107" s="35" t="inlineStr">
        <is>
          <t>フルマネージドのメッセージキュー。標準キュー(少なくとも1回・順序保証なし)とFIFOキュー(順序保証・1回のみ)</t>
        </is>
      </c>
      <c r="E107" s="35" t="inlineStr">
        <is>
          <t>コンポーネントの疎結合化・負荷平準化。順序保証→FIFO</t>
        </is>
      </c>
      <c r="F107" s="38" t="inlineStr">
        <is>
          <t>★★★</t>
        </is>
      </c>
      <c r="G107" s="39" t="n"/>
    </row>
    <row r="108" ht="29.85" customHeight="1" s="22">
      <c r="A108" s="34" t="n">
        <v>104</v>
      </c>
      <c r="B108" s="35" t="inlineStr">
        <is>
          <t>アプリケーション統合</t>
        </is>
      </c>
      <c r="C108" s="36" t="inlineStr">
        <is>
          <t>SQS可視性タイムアウト</t>
        </is>
      </c>
      <c r="D108" s="35" t="inlineStr">
        <is>
          <t>受信したメッセージを一定時間他のコンシューマーから見えなくする</t>
        </is>
      </c>
      <c r="E108" s="35" t="inlineStr">
        <is>
          <t>処理時間より長く設定しないと重複処理が起きる</t>
        </is>
      </c>
      <c r="F108" s="38" t="inlineStr">
        <is>
          <t>★★</t>
        </is>
      </c>
      <c r="G108" s="39" t="n"/>
    </row>
    <row r="109" ht="29.85" customHeight="1" s="22">
      <c r="A109" s="34" t="n">
        <v>105</v>
      </c>
      <c r="B109" s="35" t="inlineStr">
        <is>
          <t>アプリケーション統合</t>
        </is>
      </c>
      <c r="C109" s="32" t="inlineStr">
        <is>
          <t>デッドレターキュー(DLQ)</t>
        </is>
      </c>
      <c r="D109" s="35" t="inlineStr">
        <is>
          <t>処理に繰り返し失敗したメッセージを隔離するキュー</t>
        </is>
      </c>
      <c r="E109" s="35" t="inlineStr">
        <is>
          <t>失敗メッセージの分析・再処理</t>
        </is>
      </c>
      <c r="F109" s="38" t="inlineStr">
        <is>
          <t>★★</t>
        </is>
      </c>
      <c r="G109" s="39" t="n"/>
    </row>
    <row r="110" ht="29.85" customHeight="1" s="22">
      <c r="A110" s="34" t="n">
        <v>106</v>
      </c>
      <c r="B110" s="35" t="inlineStr">
        <is>
          <t>アプリケーション統合</t>
        </is>
      </c>
      <c r="C110" s="36" t="inlineStr">
        <is>
          <t>Amazon SNS</t>
        </is>
      </c>
      <c r="D110" s="37" t="inlineStr">
        <is>
          <t>Pub/Sub型の通知サービス。メール・SMS・SQS・Lambda・HTTPへ配信</t>
        </is>
      </c>
      <c r="E110" s="35" t="inlineStr">
        <is>
          <t>ファンアウト(SNS→複数SQS)</t>
        </is>
      </c>
      <c r="F110" s="38" t="inlineStr">
        <is>
          <t>★★★</t>
        </is>
      </c>
      <c r="G110" s="39" t="n"/>
    </row>
    <row r="111" ht="29.85" customHeight="1" s="22">
      <c r="A111" s="34" t="n">
        <v>107</v>
      </c>
      <c r="B111" s="35" t="inlineStr">
        <is>
          <t>アプリケーション統合</t>
        </is>
      </c>
      <c r="C111" s="36" t="inlineStr">
        <is>
          <t>Amazon EventBridge</t>
        </is>
      </c>
      <c r="D111" s="35" t="inlineStr">
        <is>
          <t>イベントバス。AWSサービス・SaaS・独自アプリのイベントをルールで振り分け、スケジュール実行も可能</t>
        </is>
      </c>
      <c r="E111" s="35" t="inlineStr">
        <is>
          <t>イベント駆動アーキテクチャ・定期実行(cron)</t>
        </is>
      </c>
      <c r="F111" s="38" t="inlineStr">
        <is>
          <t>★★</t>
        </is>
      </c>
      <c r="G111" s="39" t="n"/>
    </row>
    <row r="112" ht="29.85" customHeight="1" s="22">
      <c r="A112" s="34" t="n">
        <v>108</v>
      </c>
      <c r="B112" s="35" t="inlineStr">
        <is>
          <t>アプリケーション統合</t>
        </is>
      </c>
      <c r="C112" s="36" t="inlineStr">
        <is>
          <t>AWS Step Functions</t>
        </is>
      </c>
      <c r="D112" s="35" t="inlineStr">
        <is>
          <t>複数のLambdaやサービスをステートマシンでワークフロー化</t>
        </is>
      </c>
      <c r="E112" s="35" t="inlineStr">
        <is>
          <t>複雑なワークフロー・リトライ・人の承認を含む処理</t>
        </is>
      </c>
      <c r="F112" s="38" t="inlineStr">
        <is>
          <t>★★</t>
        </is>
      </c>
      <c r="G112" s="39" t="n"/>
    </row>
    <row r="113" ht="29.85" customHeight="1" s="22">
      <c r="A113" s="34" t="n">
        <v>109</v>
      </c>
      <c r="B113" s="35" t="inlineStr">
        <is>
          <t>アプリケーション統合</t>
        </is>
      </c>
      <c r="C113" s="36" t="inlineStr">
        <is>
          <t>Amazon API Gateway</t>
        </is>
      </c>
      <c r="D113" s="37" t="inlineStr">
        <is>
          <t>REST/HTTP/WebSocket APIの作成・公開・管理。スロットリング・キャッシュ・認証</t>
        </is>
      </c>
      <c r="E113" s="37" t="inlineStr">
        <is>
          <t>Lambdaと組み合わせたサーバーレスAPI</t>
        </is>
      </c>
      <c r="F113" s="38" t="inlineStr">
        <is>
          <t>★★★</t>
        </is>
      </c>
      <c r="G113" s="39" t="n"/>
    </row>
    <row r="114" ht="29.85" customHeight="1" s="22">
      <c r="A114" s="34" t="n">
        <v>110</v>
      </c>
      <c r="B114" s="35" t="inlineStr">
        <is>
          <t>アプリケーション統合</t>
        </is>
      </c>
      <c r="C114" s="36" t="inlineStr">
        <is>
          <t>Amazon MQ</t>
        </is>
      </c>
      <c r="D114" s="37" t="inlineStr">
        <is>
          <t>Apache ActiveMQ / RabbitMQのマネージドサービス</t>
        </is>
      </c>
      <c r="E114" s="35" t="inlineStr">
        <is>
          <t>既存のMQTT・AMQP等の標準プロトコルを使うアプリの移行</t>
        </is>
      </c>
      <c r="F114" s="38" t="inlineStr">
        <is>
          <t>★</t>
        </is>
      </c>
      <c r="G114" s="39" t="n"/>
    </row>
    <row r="115" ht="29.85" customHeight="1" s="22">
      <c r="A115" s="34" t="n">
        <v>111</v>
      </c>
      <c r="B115" s="35" t="inlineStr">
        <is>
          <t>アプリケーション統合</t>
        </is>
      </c>
      <c r="C115" s="36" t="inlineStr">
        <is>
          <t>AWS AppSync</t>
        </is>
      </c>
      <c r="D115" s="35" t="inlineStr">
        <is>
          <t>マネージドGraphQL API</t>
        </is>
      </c>
      <c r="E115" s="37" t="inlineStr">
        <is>
          <t>GraphQL・リアルタイムデータ同期</t>
        </is>
      </c>
      <c r="F115" s="38" t="inlineStr">
        <is>
          <t>★</t>
        </is>
      </c>
      <c r="G115" s="39" t="n"/>
    </row>
    <row r="116" ht="15" customHeight="1" s="22">
      <c r="A116" s="34" t="n">
        <v>112</v>
      </c>
      <c r="B116" s="35" t="inlineStr">
        <is>
          <t>分析</t>
        </is>
      </c>
      <c r="C116" s="36" t="inlineStr">
        <is>
          <t>Amazon Kinesis Data Streams</t>
        </is>
      </c>
      <c r="D116" s="35" t="inlineStr">
        <is>
          <t>リアルタイムのストリーミングデータ収集。シャード単位でスケール</t>
        </is>
      </c>
      <c r="E116" s="35" t="inlineStr">
        <is>
          <t>リアルタイム処理・複数コンシューマー・データの再処理</t>
        </is>
      </c>
      <c r="F116" s="38" t="inlineStr">
        <is>
          <t>★★</t>
        </is>
      </c>
      <c r="G116" s="39" t="n"/>
    </row>
    <row r="117" ht="29.85" customHeight="1" s="22">
      <c r="A117" s="34" t="n">
        <v>113</v>
      </c>
      <c r="B117" s="35" t="inlineStr">
        <is>
          <t>分析</t>
        </is>
      </c>
      <c r="C117" s="36" t="inlineStr">
        <is>
          <t>Amazon Data Firehose</t>
        </is>
      </c>
      <c r="D117" s="35" t="inlineStr">
        <is>
          <t>旧Kinesis Data Firehose。ストリーミングデータをS3・Redshift・OpenSearch等へ自動配信(ほぼリアルタイム)</t>
        </is>
      </c>
      <c r="E117" s="35" t="inlineStr">
        <is>
          <t>「コード不要でストリームをS3に保存」→Firehose</t>
        </is>
      </c>
      <c r="F117" s="38" t="inlineStr">
        <is>
          <t>★★</t>
        </is>
      </c>
      <c r="G117" s="39" t="n"/>
    </row>
    <row r="118" ht="29.85" customHeight="1" s="22">
      <c r="A118" s="34" t="n">
        <v>114</v>
      </c>
      <c r="B118" s="35" t="inlineStr">
        <is>
          <t>分析</t>
        </is>
      </c>
      <c r="C118" s="36" t="inlineStr">
        <is>
          <t>Amazon Athena</t>
        </is>
      </c>
      <c r="D118" s="37" t="inlineStr">
        <is>
          <t>S3上のデータを標準SQLで直接クエリするサーバーレス分析(スキャン量課金)</t>
        </is>
      </c>
      <c r="E118" s="37" t="inlineStr">
        <is>
          <t>S3のログをアドホックに分析。Parquet・パーティションでコスト削減</t>
        </is>
      </c>
      <c r="F118" s="38" t="inlineStr">
        <is>
          <t>★★★</t>
        </is>
      </c>
      <c r="G118" s="39" t="n"/>
    </row>
    <row r="119" ht="15" customHeight="1" s="22">
      <c r="A119" s="34" t="n">
        <v>115</v>
      </c>
      <c r="B119" s="35" t="inlineStr">
        <is>
          <t>分析</t>
        </is>
      </c>
      <c r="C119" s="36" t="inlineStr">
        <is>
          <t>AWS Glue</t>
        </is>
      </c>
      <c r="D119" s="35" t="inlineStr">
        <is>
          <t>サーバーレスETLとデータカタログ</t>
        </is>
      </c>
      <c r="E119" s="35" t="inlineStr">
        <is>
          <t>データの変換・カタログ化。CSV→Parquet変換</t>
        </is>
      </c>
      <c r="F119" s="38" t="inlineStr">
        <is>
          <t>★★</t>
        </is>
      </c>
      <c r="G119" s="39" t="n"/>
    </row>
    <row r="120" ht="15" customHeight="1" s="22">
      <c r="A120" s="34" t="n">
        <v>116</v>
      </c>
      <c r="B120" s="35" t="inlineStr">
        <is>
          <t>分析</t>
        </is>
      </c>
      <c r="C120" s="36" t="inlineStr">
        <is>
          <t>AWS Lake Formation</t>
        </is>
      </c>
      <c r="D120" s="37" t="inlineStr">
        <is>
          <t>S3上のデータレイクの構築とアクセス権限の一元管理</t>
        </is>
      </c>
      <c r="E120" s="35" t="inlineStr">
        <is>
          <t>データレイクの細かな権限管理</t>
        </is>
      </c>
      <c r="F120" s="38" t="inlineStr">
        <is>
          <t>★</t>
        </is>
      </c>
      <c r="G120" s="39" t="n"/>
    </row>
    <row r="121" ht="15" customHeight="1" s="22">
      <c r="A121" s="34" t="n">
        <v>117</v>
      </c>
      <c r="B121" s="35" t="inlineStr">
        <is>
          <t>分析</t>
        </is>
      </c>
      <c r="C121" s="36" t="inlineStr">
        <is>
          <t>Amazon EMR</t>
        </is>
      </c>
      <c r="D121" s="37" t="inlineStr">
        <is>
          <t>Hadoop・Sparkなどのビッグデータ処理クラスター</t>
        </is>
      </c>
      <c r="E121" s="35" t="inlineStr">
        <is>
          <t>大規模なビッグデータ処理</t>
        </is>
      </c>
      <c r="F121" s="38" t="inlineStr">
        <is>
          <t>★★</t>
        </is>
      </c>
      <c r="G121" s="39" t="n"/>
    </row>
    <row r="122" ht="15" customHeight="1" s="22">
      <c r="A122" s="34" t="n">
        <v>118</v>
      </c>
      <c r="B122" s="35" t="inlineStr">
        <is>
          <t>分析</t>
        </is>
      </c>
      <c r="C122" s="36" t="inlineStr">
        <is>
          <t>Amazon OpenSearch Service</t>
        </is>
      </c>
      <c r="D122" s="37" t="inlineStr">
        <is>
          <t>OpenSearch/Elasticsearchのマネージドサービス。全文検索・ログ分析</t>
        </is>
      </c>
      <c r="E122" s="35" t="inlineStr">
        <is>
          <t>全文検索・ログ可視化</t>
        </is>
      </c>
      <c r="F122" s="38" t="inlineStr">
        <is>
          <t>★★</t>
        </is>
      </c>
      <c r="G122" s="39" t="n"/>
    </row>
    <row r="123" ht="15" customHeight="1" s="22">
      <c r="A123" s="34" t="n">
        <v>119</v>
      </c>
      <c r="B123" s="35" t="inlineStr">
        <is>
          <t>分析</t>
        </is>
      </c>
      <c r="C123" s="36" t="inlineStr">
        <is>
          <t>Amazon QuickSight</t>
        </is>
      </c>
      <c r="D123" s="35" t="inlineStr">
        <is>
          <t>サーバーレスのBI・ダッシュボード</t>
        </is>
      </c>
      <c r="E123" s="35" t="inlineStr">
        <is>
          <t>データの可視化</t>
        </is>
      </c>
      <c r="F123" s="38" t="inlineStr">
        <is>
          <t>★</t>
        </is>
      </c>
      <c r="G123" s="39" t="n"/>
    </row>
    <row r="124" ht="15" customHeight="1" s="22">
      <c r="A124" s="34" t="n">
        <v>120</v>
      </c>
      <c r="B124" s="35" t="inlineStr">
        <is>
          <t>分析</t>
        </is>
      </c>
      <c r="C124" s="36" t="inlineStr">
        <is>
          <t>Amazon MSK</t>
        </is>
      </c>
      <c r="D124" s="35" t="inlineStr">
        <is>
          <t>マネージドApache Kafka</t>
        </is>
      </c>
      <c r="E124" s="35" t="inlineStr">
        <is>
          <t>既存Kafkaアプリの移行</t>
        </is>
      </c>
      <c r="F124" s="38" t="inlineStr">
        <is>
          <t>★</t>
        </is>
      </c>
      <c r="G124" s="39" t="n"/>
    </row>
    <row r="125" ht="15" customHeight="1" s="22">
      <c r="A125" s="34" t="n">
        <v>121</v>
      </c>
      <c r="B125" s="35" t="inlineStr">
        <is>
          <t>管理・監視</t>
        </is>
      </c>
      <c r="C125" s="36" t="inlineStr">
        <is>
          <t>Amazon CloudWatch</t>
        </is>
      </c>
      <c r="D125" s="35" t="inlineStr">
        <is>
          <t>メトリクス・ログ・アラームによる監視</t>
        </is>
      </c>
      <c r="E125" s="37" t="inlineStr">
        <is>
          <t>CPU使用率などのアラームでAuto Scaling・通知</t>
        </is>
      </c>
      <c r="F125" s="38" t="inlineStr">
        <is>
          <t>★★★</t>
        </is>
      </c>
      <c r="G125" s="39" t="n"/>
    </row>
    <row r="126" ht="29.85" customHeight="1" s="22">
      <c r="A126" s="34" t="n">
        <v>122</v>
      </c>
      <c r="B126" s="35" t="inlineStr">
        <is>
          <t>管理・監視</t>
        </is>
      </c>
      <c r="C126" s="36" t="inlineStr">
        <is>
          <t>CloudWatchエージェント</t>
        </is>
      </c>
      <c r="D126" s="37" t="inlineStr">
        <is>
          <t>EC2のメモリ使用率・ディスク使用率などOS内部のメトリクスとログを収集</t>
        </is>
      </c>
      <c r="E126" s="35" t="inlineStr">
        <is>
          <t>メモリ使用率は標準メトリクスに含まれない→エージェント</t>
        </is>
      </c>
      <c r="F126" s="38" t="inlineStr">
        <is>
          <t>★★</t>
        </is>
      </c>
      <c r="G126" s="39" t="n"/>
    </row>
    <row r="127" ht="15" customHeight="1" s="22">
      <c r="A127" s="34" t="n">
        <v>123</v>
      </c>
      <c r="B127" s="35" t="inlineStr">
        <is>
          <t>管理・監視</t>
        </is>
      </c>
      <c r="C127" s="36" t="inlineStr">
        <is>
          <t>AWS CloudTrail</t>
        </is>
      </c>
      <c r="D127" s="37" t="inlineStr">
        <is>
          <t>AWSアカウントのAPI呼び出し履歴を記録</t>
        </is>
      </c>
      <c r="E127" s="35" t="inlineStr">
        <is>
          <t>「誰がいつ何をしたか」の監査</t>
        </is>
      </c>
      <c r="F127" s="38" t="inlineStr">
        <is>
          <t>★★★</t>
        </is>
      </c>
      <c r="G127" s="39" t="n"/>
    </row>
    <row r="128" ht="15" customHeight="1" s="22">
      <c r="A128" s="34" t="n">
        <v>124</v>
      </c>
      <c r="B128" s="35" t="inlineStr">
        <is>
          <t>管理・監視</t>
        </is>
      </c>
      <c r="C128" s="36" t="inlineStr">
        <is>
          <t>AWS Config</t>
        </is>
      </c>
      <c r="D128" s="35" t="inlineStr">
        <is>
          <t>リソースの設定変更履歴を記録し、ルールで準拠状況を評価</t>
        </is>
      </c>
      <c r="E128" s="35" t="inlineStr">
        <is>
          <t>設定のコンプライアンスチェック・自動修復</t>
        </is>
      </c>
      <c r="F128" s="38" t="inlineStr">
        <is>
          <t>★★</t>
        </is>
      </c>
      <c r="G128" s="39" t="n"/>
    </row>
    <row r="129" ht="29.85" customHeight="1" s="22">
      <c r="A129" s="34" t="n">
        <v>125</v>
      </c>
      <c r="B129" s="35" t="inlineStr">
        <is>
          <t>管理・監視</t>
        </is>
      </c>
      <c r="C129" s="36" t="inlineStr">
        <is>
          <t>AWS Systems Manager</t>
        </is>
      </c>
      <c r="D129" s="37" t="inlineStr">
        <is>
          <t>EC2等の運用管理(Session Manager、Patch Manager、Run Command等)</t>
        </is>
      </c>
      <c r="E129" s="37" t="inlineStr">
        <is>
          <t>SSHポートを開けずにSession Managerで接続、パッチ一括適用</t>
        </is>
      </c>
      <c r="F129" s="38" t="inlineStr">
        <is>
          <t>★★</t>
        </is>
      </c>
      <c r="G129" s="39" t="n"/>
    </row>
    <row r="130" ht="29.85" customHeight="1" s="22">
      <c r="A130" s="34" t="n">
        <v>126</v>
      </c>
      <c r="B130" s="35" t="inlineStr">
        <is>
          <t>管理・監視</t>
        </is>
      </c>
      <c r="C130" s="36" t="inlineStr">
        <is>
          <t>AWS CloudFormation</t>
        </is>
      </c>
      <c r="D130" s="35" t="inlineStr">
        <is>
          <t>インフラをコード(YAML/JSON)で定義し自動構築(IaC)</t>
        </is>
      </c>
      <c r="E130" s="35" t="inlineStr">
        <is>
          <t>同一環境の繰り返し構築。StackSetsで複数アカウント/リージョン展開</t>
        </is>
      </c>
      <c r="F130" s="38" t="inlineStr">
        <is>
          <t>★★</t>
        </is>
      </c>
      <c r="G130" s="39" t="n"/>
    </row>
    <row r="131" ht="29.85" customHeight="1" s="22">
      <c r="A131" s="34" t="n">
        <v>127</v>
      </c>
      <c r="B131" s="35" t="inlineStr">
        <is>
          <t>管理・監視</t>
        </is>
      </c>
      <c r="C131" s="36" t="inlineStr">
        <is>
          <t>AWS Trusted Advisor</t>
        </is>
      </c>
      <c r="D131" s="35" t="inlineStr">
        <is>
          <t>コスト・パフォーマンス・セキュリティ・耐障害性などのベストプラクティスをチェック</t>
        </is>
      </c>
      <c r="E131" s="35" t="inlineStr">
        <is>
          <t>コスト最適化や制限値の確認</t>
        </is>
      </c>
      <c r="F131" s="38" t="inlineStr">
        <is>
          <t>★</t>
        </is>
      </c>
      <c r="G131" s="39" t="n"/>
    </row>
    <row r="132" ht="29.85" customHeight="1" s="22">
      <c r="A132" s="34" t="n">
        <v>128</v>
      </c>
      <c r="B132" s="35" t="inlineStr">
        <is>
          <t>管理・監視</t>
        </is>
      </c>
      <c r="C132" s="36" t="inlineStr">
        <is>
          <t>AWS Control Tower</t>
        </is>
      </c>
      <c r="D132" s="35" t="inlineStr">
        <is>
          <t>ベストプラクティスに沿ったマルチアカウント環境(ランディングゾーン)を自動セットアップ</t>
        </is>
      </c>
      <c r="E132" s="35" t="inlineStr">
        <is>
          <t>マルチアカウント環境の迅速な構築とガードレール</t>
        </is>
      </c>
      <c r="F132" s="38" t="inlineStr">
        <is>
          <t>★</t>
        </is>
      </c>
      <c r="G132" s="39" t="n"/>
    </row>
    <row r="133" ht="15" customHeight="1" s="22">
      <c r="A133" s="34" t="n">
        <v>129</v>
      </c>
      <c r="B133" s="35" t="inlineStr">
        <is>
          <t>管理・監視</t>
        </is>
      </c>
      <c r="C133" s="36" t="inlineStr">
        <is>
          <t>AWS Health Dashboard</t>
        </is>
      </c>
      <c r="D133" s="37" t="inlineStr">
        <is>
          <t>AWSサービスの障害やメンテナンスの影響を通知</t>
        </is>
      </c>
      <c r="E133" s="35" t="inlineStr">
        <is>
          <t>自アカウントに影響するイベントの把握</t>
        </is>
      </c>
      <c r="F133" s="38" t="inlineStr">
        <is>
          <t>★</t>
        </is>
      </c>
      <c r="G133" s="39" t="n"/>
    </row>
    <row r="134" ht="15" customHeight="1" s="22">
      <c r="A134" s="34" t="n">
        <v>130</v>
      </c>
      <c r="B134" s="35" t="inlineStr">
        <is>
          <t>管理・監視</t>
        </is>
      </c>
      <c r="C134" s="36" t="inlineStr">
        <is>
          <t>AWS Compute Optimizer</t>
        </is>
      </c>
      <c r="D134" s="35" t="inlineStr">
        <is>
          <t>利用状況からEC2・EBS・Lambda等の最適なサイズを推奨</t>
        </is>
      </c>
      <c r="E134" s="35" t="inlineStr">
        <is>
          <t>ライトサイジング</t>
        </is>
      </c>
      <c r="F134" s="38" t="inlineStr">
        <is>
          <t>★</t>
        </is>
      </c>
      <c r="G134" s="39" t="n"/>
    </row>
    <row r="135" ht="29.85" customHeight="1" s="22">
      <c r="A135" s="34" t="n">
        <v>131</v>
      </c>
      <c r="B135" s="35" t="inlineStr">
        <is>
          <t>移行</t>
        </is>
      </c>
      <c r="C135" s="36" t="inlineStr">
        <is>
          <t>AWS DMS</t>
        </is>
      </c>
      <c r="D135" s="37" t="inlineStr">
        <is>
          <t>Database Migration Service。最小限のダウンタイムでDBを移行(同種・異種)</t>
        </is>
      </c>
      <c r="E135" s="35" t="inlineStr">
        <is>
          <t>オンプレDB→RDS/Auroraの移行。継続的レプリケーション</t>
        </is>
      </c>
      <c r="F135" s="38" t="inlineStr">
        <is>
          <t>★★</t>
        </is>
      </c>
      <c r="G135" s="39" t="n"/>
    </row>
    <row r="136" ht="15" customHeight="1" s="22">
      <c r="A136" s="34" t="n">
        <v>132</v>
      </c>
      <c r="B136" s="35" t="inlineStr">
        <is>
          <t>移行</t>
        </is>
      </c>
      <c r="C136" s="36" t="inlineStr">
        <is>
          <t>AWS SCT</t>
        </is>
      </c>
      <c r="D136" s="37" t="inlineStr">
        <is>
          <t>Schema Conversion Tool。異種DB間のスキーマ変換</t>
        </is>
      </c>
      <c r="E136" s="37" t="inlineStr">
        <is>
          <t>Oracle→Auroraなど異種移行ではDMSとセットで使う</t>
        </is>
      </c>
      <c r="F136" s="38" t="inlineStr">
        <is>
          <t>★★</t>
        </is>
      </c>
      <c r="G136" s="39" t="n"/>
    </row>
    <row r="137" ht="23.85" customHeight="1" s="22">
      <c r="A137" s="34" t="n">
        <v>133</v>
      </c>
      <c r="B137" s="35" t="inlineStr">
        <is>
          <t>移行</t>
        </is>
      </c>
      <c r="C137" s="36" t="inlineStr">
        <is>
          <t>AWS Application Migration Service</t>
        </is>
      </c>
      <c r="D137" s="35" t="inlineStr">
        <is>
          <t>サーバーをそのままAWSへリホスト(リフト&amp;シフト)</t>
        </is>
      </c>
      <c r="E137" s="35" t="inlineStr">
        <is>
          <t>オンプレサーバーの最小変更での移行</t>
        </is>
      </c>
      <c r="F137" s="38" t="inlineStr">
        <is>
          <t>★</t>
        </is>
      </c>
      <c r="G137" s="39" t="n"/>
    </row>
    <row r="138" ht="29.85" customHeight="1" s="22">
      <c r="A138" s="34" t="n">
        <v>134</v>
      </c>
      <c r="B138" s="35" t="inlineStr">
        <is>
          <t>移行</t>
        </is>
      </c>
      <c r="C138" s="32" t="inlineStr">
        <is>
          <t>移行戦略(7R)</t>
        </is>
      </c>
      <c r="D138" s="35" t="inlineStr">
        <is>
          <t>リホスト/リプラットフォーム/リファクタリング/リパーチェス/リタイア/保持/リロケート</t>
        </is>
      </c>
      <c r="E138" s="35" t="inlineStr">
        <is>
          <t>要件に合った移行アプローチの選択</t>
        </is>
      </c>
      <c r="F138" s="38" t="inlineStr">
        <is>
          <t>★</t>
        </is>
      </c>
      <c r="G138" s="39" t="n"/>
    </row>
    <row r="139" ht="15" customHeight="1" s="22">
      <c r="A139" s="34" t="n">
        <v>135</v>
      </c>
      <c r="B139" s="35" t="inlineStr">
        <is>
          <t>コスト管理</t>
        </is>
      </c>
      <c r="C139" s="36" t="inlineStr">
        <is>
          <t>AWS Cost Explorer</t>
        </is>
      </c>
      <c r="D139" s="35" t="inlineStr">
        <is>
          <t>コストと使用量の可視化・分析・予測</t>
        </is>
      </c>
      <c r="E139" s="35" t="inlineStr">
        <is>
          <t>コストの傾向分析・RIの推奨</t>
        </is>
      </c>
      <c r="F139" s="38" t="inlineStr">
        <is>
          <t>★★</t>
        </is>
      </c>
      <c r="G139" s="39" t="n"/>
    </row>
    <row r="140" ht="15" customHeight="1" s="22">
      <c r="A140" s="34" t="n">
        <v>136</v>
      </c>
      <c r="B140" s="35" t="inlineStr">
        <is>
          <t>コスト管理</t>
        </is>
      </c>
      <c r="C140" s="36" t="inlineStr">
        <is>
          <t>AWS Budgets</t>
        </is>
      </c>
      <c r="D140" s="35" t="inlineStr">
        <is>
          <t>予算を設定し、超過見込み時にアラート</t>
        </is>
      </c>
      <c r="E140" s="35" t="inlineStr">
        <is>
          <t>予算超過の通知</t>
        </is>
      </c>
      <c r="F140" s="38" t="inlineStr">
        <is>
          <t>★★</t>
        </is>
      </c>
      <c r="G140" s="39" t="n"/>
    </row>
    <row r="141" ht="15" customHeight="1" s="22">
      <c r="A141" s="34" t="n">
        <v>137</v>
      </c>
      <c r="B141" s="35" t="inlineStr">
        <is>
          <t>コスト管理</t>
        </is>
      </c>
      <c r="C141" s="32" t="inlineStr">
        <is>
          <t>コスト配分タグ</t>
        </is>
      </c>
      <c r="D141" s="35" t="inlineStr">
        <is>
          <t>タグでコストを部門・プロジェクト別に集計</t>
        </is>
      </c>
      <c r="E141" s="35" t="inlineStr">
        <is>
          <t>部門別の課金把握</t>
        </is>
      </c>
      <c r="F141" s="38" t="inlineStr">
        <is>
          <t>★</t>
        </is>
      </c>
      <c r="G141" s="39" t="n"/>
    </row>
    <row r="142" ht="29.85" customHeight="1" s="22">
      <c r="A142" s="34" t="n">
        <v>138</v>
      </c>
      <c r="B142" s="35" t="inlineStr">
        <is>
          <t>コスト管理</t>
        </is>
      </c>
      <c r="C142" s="32" t="inlineStr">
        <is>
          <t>データ転送料金</t>
        </is>
      </c>
      <c r="D142" s="35" t="inlineStr">
        <is>
          <t>インバウンドは無料、アウトバウンドやAZ間・リージョン間通信は有料</t>
        </is>
      </c>
      <c r="E142" s="35" t="inlineStr">
        <is>
          <t>同一AZ内配置・VPCエンドポイント・CloudFrontで転送コスト削減</t>
        </is>
      </c>
      <c r="F142" s="38" t="inlineStr">
        <is>
          <t>★★</t>
        </is>
      </c>
      <c r="G142" s="39" t="n"/>
    </row>
    <row r="143" ht="15" customHeight="1" s="22">
      <c r="A143" s="34" t="n">
        <v>139</v>
      </c>
      <c r="B143" s="37" t="inlineStr">
        <is>
          <t>AI/ML</t>
        </is>
      </c>
      <c r="C143" s="36" t="inlineStr">
        <is>
          <t>Amazon Bedrock</t>
        </is>
      </c>
      <c r="D143" s="35" t="inlineStr">
        <is>
          <t>主要な基盤モデルをAPIで利用できる生成AIサービス</t>
        </is>
      </c>
      <c r="E143" s="35" t="inlineStr">
        <is>
          <t>生成AIアプリの構築(近年出題あり)</t>
        </is>
      </c>
      <c r="F143" s="38" t="inlineStr">
        <is>
          <t>★</t>
        </is>
      </c>
      <c r="G143" s="39" t="n"/>
    </row>
    <row r="144" ht="15" customHeight="1" s="22">
      <c r="A144" s="34" t="n">
        <v>140</v>
      </c>
      <c r="B144" s="37" t="inlineStr">
        <is>
          <t>AI/ML</t>
        </is>
      </c>
      <c r="C144" s="36" t="inlineStr">
        <is>
          <t>Amazon SageMaker AI</t>
        </is>
      </c>
      <c r="D144" s="35" t="inlineStr">
        <is>
          <t>機械学習モデルの構築・学習・デプロイ</t>
        </is>
      </c>
      <c r="E144" s="35" t="inlineStr">
        <is>
          <t>独自MLモデルの開発</t>
        </is>
      </c>
      <c r="F144" s="38" t="inlineStr">
        <is>
          <t>★</t>
        </is>
      </c>
      <c r="G144" s="39" t="n"/>
    </row>
    <row r="145" ht="15" customHeight="1" s="22">
      <c r="A145" s="34" t="n">
        <v>141</v>
      </c>
      <c r="B145" s="37" t="inlineStr">
        <is>
          <t>AI/ML</t>
        </is>
      </c>
      <c r="C145" s="36" t="inlineStr">
        <is>
          <t>Amazon Rekognition</t>
        </is>
      </c>
      <c r="D145" s="35" t="inlineStr">
        <is>
          <t>画像・動画分析(物体・顔検出、不適切コンテンツ検出)</t>
        </is>
      </c>
      <c r="E145" s="35" t="inlineStr">
        <is>
          <t>画像のモデレーション</t>
        </is>
      </c>
      <c r="F145" s="38" t="inlineStr">
        <is>
          <t>★</t>
        </is>
      </c>
      <c r="G145" s="39" t="n"/>
    </row>
    <row r="146" ht="29.85" customHeight="1" s="22">
      <c r="A146" s="34" t="n">
        <v>142</v>
      </c>
      <c r="B146" s="37" t="inlineStr">
        <is>
          <t>AI/ML</t>
        </is>
      </c>
      <c r="C146" s="36" t="inlineStr">
        <is>
          <t>Amazon Comprehend / Textract / Transcribe / Translate / Polly</t>
        </is>
      </c>
      <c r="D146" s="35" t="inlineStr">
        <is>
          <t>自然言語処理 / 文書からのテキスト抽出 / 音声→テキスト / 翻訳 / テキスト→音声</t>
        </is>
      </c>
      <c r="E146" s="35" t="inlineStr">
        <is>
          <t>用途に合うAIサービスの選択</t>
        </is>
      </c>
      <c r="F146" s="38" t="inlineStr">
        <is>
          <t>★</t>
        </is>
      </c>
      <c r="G146" s="39" t="n"/>
    </row>
    <row r="147" ht="29.85" customHeight="1" s="22">
      <c r="A147" s="34" t="n">
        <v>143</v>
      </c>
      <c r="B147" s="35" t="inlineStr">
        <is>
          <t>設計原則</t>
        </is>
      </c>
      <c r="C147" s="36" t="inlineStr">
        <is>
          <t>AWS Well-Architected フレームワーク</t>
        </is>
      </c>
      <c r="D147" s="37" t="inlineStr">
        <is>
          <t>6つの柱:運用上の優秀性、セキュリティ、信頼性、パフォーマンス効率、コスト最適化、持続可能性</t>
        </is>
      </c>
      <c r="E147" s="35" t="inlineStr">
        <is>
          <t>設計判断の拠り所</t>
        </is>
      </c>
      <c r="F147" s="38" t="inlineStr">
        <is>
          <t>★★★</t>
        </is>
      </c>
      <c r="G147" s="39" t="n"/>
    </row>
    <row r="148" ht="29.85" customHeight="1" s="22">
      <c r="A148" s="34" t="n">
        <v>144</v>
      </c>
      <c r="B148" s="35" t="inlineStr">
        <is>
          <t>設計原則</t>
        </is>
      </c>
      <c r="C148" s="32" t="inlineStr">
        <is>
          <t>リージョン / AZ / エッジロケーション</t>
        </is>
      </c>
      <c r="D148" s="35" t="inlineStr">
        <is>
          <t>リージョンは地理的エリア、AZはリージョン内の独立したデータセンター群、エッジはCDN拠点</t>
        </is>
      </c>
      <c r="E148" s="35" t="inlineStr">
        <is>
          <t>高可用性はマルチAZ、DR・規制対応はマルチリージョン</t>
        </is>
      </c>
      <c r="F148" s="38" t="inlineStr">
        <is>
          <t>★★★</t>
        </is>
      </c>
      <c r="G148" s="39" t="n"/>
    </row>
    <row r="149" ht="15" customHeight="1" s="22">
      <c r="A149" s="34" t="n">
        <v>145</v>
      </c>
      <c r="B149" s="35" t="inlineStr">
        <is>
          <t>設計原則</t>
        </is>
      </c>
      <c r="C149" s="36" t="inlineStr">
        <is>
          <t>RPO / RTO</t>
        </is>
      </c>
      <c r="D149" s="37" t="inlineStr">
        <is>
          <t>RPO:許容できるデータ損失の時間幅、RTO:復旧までの許容時間</t>
        </is>
      </c>
      <c r="E149" s="35" t="inlineStr">
        <is>
          <t>要件の数値からDR戦略を選ぶ</t>
        </is>
      </c>
      <c r="F149" s="38" t="inlineStr">
        <is>
          <t>★★★</t>
        </is>
      </c>
      <c r="G149" s="39" t="n"/>
    </row>
    <row r="150" ht="29.85" customHeight="1" s="22">
      <c r="A150" s="34" t="n">
        <v>146</v>
      </c>
      <c r="B150" s="35" t="inlineStr">
        <is>
          <t>設計原則</t>
        </is>
      </c>
      <c r="C150" s="36" t="inlineStr">
        <is>
          <t>DR戦略</t>
        </is>
      </c>
      <c r="D150" s="35" t="inlineStr">
        <is>
          <t>バックアップ&amp;リストア → パイロットライト → ウォームスタンバイ → マルチサイト(アクティブ/アクティブ)。右ほど高コスト・短RTO</t>
        </is>
      </c>
      <c r="E150" s="37" t="inlineStr">
        <is>
          <t>RPO/RTOとコストのバランスで選択</t>
        </is>
      </c>
      <c r="F150" s="38" t="inlineStr">
        <is>
          <t>★★★</t>
        </is>
      </c>
      <c r="G150" s="39" t="n"/>
    </row>
    <row r="151" ht="15" customHeight="1" s="22">
      <c r="A151" s="34" t="n">
        <v>147</v>
      </c>
      <c r="B151" s="35" t="inlineStr">
        <is>
          <t>設計原則</t>
        </is>
      </c>
      <c r="C151" s="32" t="inlineStr">
        <is>
          <t>疎結合(Decoupling)</t>
        </is>
      </c>
      <c r="D151" s="37" t="inlineStr">
        <is>
          <t>SQS・SNS・EventBridgeでコンポーネント間の依存を減らす</t>
        </is>
      </c>
      <c r="E151" s="35" t="inlineStr">
        <is>
          <t>スパイクへの耐性・障害の影響範囲縮小</t>
        </is>
      </c>
      <c r="F151" s="38" t="inlineStr">
        <is>
          <t>★★★</t>
        </is>
      </c>
      <c r="G151" s="39" t="n"/>
    </row>
    <row r="152" ht="29.85" customHeight="1" s="22">
      <c r="A152" s="34" t="n">
        <v>148</v>
      </c>
      <c r="B152" s="35" t="inlineStr">
        <is>
          <t>設計原則</t>
        </is>
      </c>
      <c r="C152" s="32" t="inlineStr">
        <is>
          <t>ステートレス設計</t>
        </is>
      </c>
      <c r="D152" s="35" t="inlineStr">
        <is>
          <t>セッション情報をElastiCacheやDynamoDBに外出しし、サーバーを使い捨て可能にする</t>
        </is>
      </c>
      <c r="E152" s="37" t="inlineStr">
        <is>
          <t>Auto Scalingでの水平スケールの前提</t>
        </is>
      </c>
      <c r="F152" s="38" t="inlineStr">
        <is>
          <t>★★</t>
        </is>
      </c>
      <c r="G152" s="39" t="n"/>
    </row>
    <row r="153" ht="29.85" customHeight="1" s="22">
      <c r="A153" s="34" t="n">
        <v>149</v>
      </c>
      <c r="B153" s="35" t="inlineStr">
        <is>
          <t>設計原則</t>
        </is>
      </c>
      <c r="C153" s="32" t="inlineStr">
        <is>
          <t>責任共有モデル</t>
        </is>
      </c>
      <c r="D153" s="37" t="inlineStr">
        <is>
          <t>AWSはクラウド「の」セキュリティ、顧客はクラウド「における」セキュリティに責任を持つ</t>
        </is>
      </c>
      <c r="E153" s="35" t="inlineStr">
        <is>
          <t>サービスごとに顧客が管理すべき範囲</t>
        </is>
      </c>
      <c r="F153" s="38" t="inlineStr">
        <is>
          <t>★★</t>
        </is>
      </c>
      <c r="G153" s="39" t="n"/>
    </row>
    <row r="154" ht="29.85" customHeight="1" s="22">
      <c r="A154" s="34" t="n">
        <v>150</v>
      </c>
      <c r="B154" s="35" t="inlineStr">
        <is>
          <t>設計原則</t>
        </is>
      </c>
      <c r="C154" s="32" t="inlineStr">
        <is>
          <t>暗号化(保存時/転送時)</t>
        </is>
      </c>
      <c r="D154" s="35" t="inlineStr">
        <is>
          <t>保存時:KMS・SSE-S3・SSE-KMS・SSE-C、転送時:TLS/SSL</t>
        </is>
      </c>
      <c r="E154" s="35" t="inlineStr">
        <is>
          <t>「キーの使用を監査したい」→SSE-KMS(CloudTrailで記録)</t>
        </is>
      </c>
      <c r="F154" s="38" t="inlineStr">
        <is>
          <t>★★★</t>
        </is>
      </c>
      <c r="G154" s="39" t="n"/>
    </row>
    <row r="155" ht="29.85" customHeight="1" s="22">
      <c r="A155" s="34" t="n">
        <v>151</v>
      </c>
      <c r="B155" s="35" t="inlineStr">
        <is>
          <t>設計原則</t>
        </is>
      </c>
      <c r="C155" s="32" t="inlineStr">
        <is>
          <t>サーバーレスアーキテクチャ</t>
        </is>
      </c>
      <c r="D155" s="37" t="inlineStr">
        <is>
          <t>API Gateway + Lambda + DynamoDB + S3などで管理不要・従量課金の構成</t>
        </is>
      </c>
      <c r="E155" s="35" t="inlineStr">
        <is>
          <t>「運用負荷を最小に」という要件のとき有力</t>
        </is>
      </c>
      <c r="F155" s="38" t="inlineStr">
        <is>
          <t>★★★</t>
        </is>
      </c>
      <c r="G155" s="39" t="n"/>
    </row>
    <row r="156" ht="29.85" customHeight="1" s="22">
      <c r="A156" s="34" t="n">
        <v>152</v>
      </c>
      <c r="B156" s="35" t="inlineStr">
        <is>
          <t>コンピューティング</t>
        </is>
      </c>
      <c r="C156" s="36" t="inlineStr">
        <is>
          <t>Amazon Lightsail</t>
        </is>
      </c>
      <c r="D156" s="35" t="inlineStr">
        <is>
          <t>仮想サーバー・ストレージ・DB・ネットワークなどをまとめた構成を、シンプルな月額の低価格で提供するサービス</t>
        </is>
      </c>
      <c r="E156" s="37" t="inlineStr">
        <is>
          <t>小規模なWebサイトやシンプルなアプリを低コスト・簡単に立ち上げたい→Lightsail</t>
        </is>
      </c>
      <c r="F156" s="38" t="inlineStr">
        <is>
          <t>★</t>
        </is>
      </c>
      <c r="G156" s="39" t="n"/>
    </row>
    <row r="157" ht="29.85" customHeight="1" s="22">
      <c r="A157" s="34" t="n">
        <v>153</v>
      </c>
      <c r="B157" s="35" t="inlineStr">
        <is>
          <t>コンピューティング</t>
        </is>
      </c>
      <c r="C157" s="36" t="inlineStr">
        <is>
          <t>VMware Cloud on AWS</t>
        </is>
      </c>
      <c r="D157" s="35" t="inlineStr">
        <is>
          <t>オンプレミスのVMware環境(vSphere/vSAN/NSX)と同じアーキテクチャをAWSのベアメタル上で実行する</t>
        </is>
      </c>
      <c r="E157" s="37" t="inlineStr">
        <is>
          <t>既存VMwareワークロードを再設計せずにクラウドへ移行・拡張したい</t>
        </is>
      </c>
      <c r="F157" s="38" t="inlineStr">
        <is>
          <t>★</t>
        </is>
      </c>
      <c r="G157" s="39" t="n"/>
    </row>
    <row r="158" ht="29.85" customHeight="1" s="22">
      <c r="A158" s="34" t="n">
        <v>154</v>
      </c>
      <c r="B158" s="35" t="inlineStr">
        <is>
          <t>コンピューティング</t>
        </is>
      </c>
      <c r="C158" s="36" t="inlineStr">
        <is>
          <t>AWS Auto Scaling</t>
        </is>
      </c>
      <c r="D158" s="35" t="inlineStr">
        <is>
          <t>EC2 Auto Scalingグループ、ECSサービスのタスク数、DynamoDBのキャパシティ、Auroraのレプリカ数など複数リソースのスケーリングをまとめて管理する</t>
        </is>
      </c>
      <c r="E158" s="37" t="inlineStr">
        <is>
          <t>EC2以外(ECS・DynamoDB・Aurora)も含めたトラフィック変動への自動対応</t>
        </is>
      </c>
      <c r="F158" s="38" t="inlineStr">
        <is>
          <t>★★</t>
        </is>
      </c>
      <c r="G158" s="39" t="n"/>
    </row>
    <row r="159" ht="29.85" customHeight="1" s="22">
      <c r="A159" s="34" t="n">
        <v>155</v>
      </c>
      <c r="B159" s="35" t="inlineStr">
        <is>
          <t>コンピューティング</t>
        </is>
      </c>
      <c r="C159" s="36" t="inlineStr">
        <is>
          <t>AWS Serverless Application Repository</t>
        </is>
      </c>
      <c r="D159" s="35" t="inlineStr">
        <is>
          <t>サーバーレスアプリケーション用のマネージド型リポジトリ。IAMによる権限管理でチーム・組織・個人が再利用可能なアプリを保存・共有できる</t>
        </is>
      </c>
      <c r="E159" s="37" t="inlineStr">
        <is>
          <t>サーバーレスアプリを組織内で共有・再利用したい→SAR</t>
        </is>
      </c>
      <c r="F159" s="38" t="inlineStr">
        <is>
          <t>★</t>
        </is>
      </c>
      <c r="G159" s="39" t="n"/>
    </row>
    <row r="160" ht="29.85" customHeight="1" s="22">
      <c r="A160" s="34" t="n">
        <v>156</v>
      </c>
      <c r="B160" s="35" t="inlineStr">
        <is>
          <t>コンピューティング</t>
        </is>
      </c>
      <c r="C160" s="36" t="inlineStr">
        <is>
          <t>AWSマネジメントコンソール</t>
        </is>
      </c>
      <c r="D160" s="35" t="inlineStr">
        <is>
          <t>WebブラウザからAWSリソースを操作するGUIツール</t>
        </is>
      </c>
      <c r="E160" s="37" t="inlineStr">
        <is>
          <t>GUIでの手動操作。自動化・繰り返し作業にはCLI/SDK/IaCを使う</t>
        </is>
      </c>
      <c r="F160" s="38" t="inlineStr">
        <is>
          <t>★</t>
        </is>
      </c>
      <c r="G160" s="39" t="n"/>
    </row>
    <row r="161" ht="29.85" customHeight="1" s="22">
      <c r="A161" s="34" t="n">
        <v>157</v>
      </c>
      <c r="B161" s="35" t="inlineStr">
        <is>
          <t>コンピューティング</t>
        </is>
      </c>
      <c r="C161" s="36" t="inlineStr">
        <is>
          <t>AWS CLI</t>
        </is>
      </c>
      <c r="D161" s="35" t="inlineStr">
        <is>
          <t>AWSの操作をコマンドラインから実行するツール</t>
        </is>
      </c>
      <c r="E161" s="37" t="inlineStr">
        <is>
          <t>スクリプト化による操作の自動化</t>
        </is>
      </c>
      <c r="F161" s="38" t="inlineStr">
        <is>
          <t>★</t>
        </is>
      </c>
      <c r="G161" s="39" t="n"/>
    </row>
    <row r="162" ht="29.85" customHeight="1" s="22">
      <c r="A162" s="34" t="n">
        <v>158</v>
      </c>
      <c r="B162" s="35" t="inlineStr">
        <is>
          <t>コンピューティング</t>
        </is>
      </c>
      <c r="C162" s="36" t="inlineStr">
        <is>
          <t>AWS CloudShell</t>
        </is>
      </c>
      <c r="D162" s="35" t="inlineStr">
        <is>
          <t>AWS CLI・PowerShell・ECS CLI・SAM CLIが使えるブラウザベースのシェル。Node.jsやPythonのランタイムも利用可能</t>
        </is>
      </c>
      <c r="E162" s="37" t="inlineStr">
        <is>
          <t>ローカルにツールを入れず、認証済みのシェルをすぐ使いたい</t>
        </is>
      </c>
      <c r="F162" s="38" t="inlineStr">
        <is>
          <t>★</t>
        </is>
      </c>
      <c r="G162" s="39" t="n"/>
    </row>
    <row r="163" ht="29.85" customHeight="1" s="22">
      <c r="A163" s="34" t="n">
        <v>159</v>
      </c>
      <c r="B163" s="35" t="inlineStr">
        <is>
          <t>コンピューティング</t>
        </is>
      </c>
      <c r="C163" s="36" t="inlineStr">
        <is>
          <t>EC2 Instance Connect</t>
        </is>
      </c>
      <c r="D163" s="35" t="inlineStr">
        <is>
          <t>EC2コンソールなどからSSHで、EC2インスタンスへシンプルかつ安全に接続する機能。一時的な公開鍵を都度プッシュする</t>
        </is>
      </c>
      <c r="E163" s="37" t="inlineStr">
        <is>
          <t>長期的なSSHキー管理なしで安全に接続(IAMで接続を制御)</t>
        </is>
      </c>
      <c r="F163" s="38" t="inlineStr">
        <is>
          <t>★★</t>
        </is>
      </c>
      <c r="G163" s="39" t="n"/>
    </row>
    <row r="164" ht="29.85" customHeight="1" s="22">
      <c r="A164" s="34" t="n">
        <v>160</v>
      </c>
      <c r="B164" s="35" t="inlineStr">
        <is>
          <t>コンピューティング</t>
        </is>
      </c>
      <c r="C164" s="36" t="inlineStr">
        <is>
          <t>AWS Copilot</t>
        </is>
      </c>
      <c r="D164" s="35" t="inlineStr">
        <is>
          <t>Amazon ECSやAWS Fargate上でコンテナアプリを簡単に構築・デプロイ・運用できる公式のコマンドラインツール</t>
        </is>
      </c>
      <c r="E164" s="37" t="inlineStr">
        <is>
          <t>コンテナアプリを少ない手順でECS/Fargateにデプロイしたい</t>
        </is>
      </c>
      <c r="F164" s="38" t="inlineStr">
        <is>
          <t>★</t>
        </is>
      </c>
      <c r="G164" s="39" t="n"/>
    </row>
    <row r="165" ht="29.85" customHeight="1" s="22">
      <c r="A165" s="34" t="n">
        <v>161</v>
      </c>
      <c r="B165" s="35" t="inlineStr">
        <is>
          <t>ストレージ</t>
        </is>
      </c>
      <c r="C165" s="36" t="inlineStr">
        <is>
          <t>S3 Glacier Flexible Retrieval</t>
        </is>
      </c>
      <c r="D165" s="35" t="inlineStr">
        <is>
          <t>低コストのアーカイブ用クラス(以前の名称はS3 Glacier)。取り出しは迅速(1〜5分)/標準(3〜5時間)/大容量(5〜12時間)から選ぶ。最低保存期間90日</t>
        </is>
      </c>
      <c r="E165" s="37" t="inlineStr">
        <is>
          <t>年に1〜2回程度アクセスし、数分〜数時間の取り出し待ちを許容できるバックアップ・アーカイブ</t>
        </is>
      </c>
      <c r="F165" s="38" t="inlineStr">
        <is>
          <t>★★</t>
        </is>
      </c>
      <c r="G165" s="39" t="n"/>
    </row>
    <row r="166" ht="29.85" customHeight="1" s="22">
      <c r="A166" s="34" t="n">
        <v>162</v>
      </c>
      <c r="B166" s="35" t="inlineStr">
        <is>
          <t>ストレージ</t>
        </is>
      </c>
      <c r="C166" s="36" t="inlineStr">
        <is>
          <t>S3 Glacier Instant Retrieval</t>
        </is>
      </c>
      <c r="D166" s="35" t="inlineStr">
        <is>
          <t>アーカイブ向けの低コストなクラスだが、取り出しはStandardと同じミリ秒単位。最低保存期間90日</t>
        </is>
      </c>
      <c r="E166" s="37" t="inlineStr">
        <is>
          <t>四半期に1回程度しかアクセスしないが、必要なときは即時に取り出したいデータ(医療画像・ニュース素材など)</t>
        </is>
      </c>
      <c r="F166" s="38" t="inlineStr">
        <is>
          <t>★★</t>
        </is>
      </c>
      <c r="G166" s="39" t="n"/>
    </row>
    <row r="167" ht="29.85" customHeight="1" s="22">
      <c r="A167" s="34" t="n">
        <v>163</v>
      </c>
      <c r="B167" s="35" t="inlineStr">
        <is>
          <t>ストレージ</t>
        </is>
      </c>
      <c r="C167" s="36" t="inlineStr">
        <is>
          <t>Amazon FSx for NetApp ONTAP</t>
        </is>
      </c>
      <c r="D167" s="35" t="inlineStr">
        <is>
          <t>NFS・SMB・iSCSIのマルチプロトコルに対応したフルマネージドファイルシステム。LinuxとWindowsの両方からアクセスでき、NetAppのスナップショットやレプリケーション機能をそのまま使える</t>
        </is>
      </c>
      <c r="E167" s="37" t="inlineStr">
        <is>
          <t>オンプレミスのNetApp環境をそのまま移行したい・LinuxとWindowsで同じデータを共有したい</t>
        </is>
      </c>
      <c r="F167" s="38" t="inlineStr">
        <is>
          <t>★★</t>
        </is>
      </c>
      <c r="G167" s="39" t="n"/>
    </row>
    <row r="168" ht="29.85" customHeight="1" s="22">
      <c r="A168" s="34" t="n">
        <v>164</v>
      </c>
      <c r="B168" s="35" t="inlineStr">
        <is>
          <t>ストレージ</t>
        </is>
      </c>
      <c r="C168" s="36" t="inlineStr">
        <is>
          <t>Amazon FSx for OpenZFS</t>
        </is>
      </c>
      <c r="D168" s="35" t="inlineStr">
        <is>
          <t>ZFSベースのフルマネージドファイルシステム。NFSでアクセスし、スナップショットやクローンを使える</t>
        </is>
      </c>
      <c r="E168" s="37" t="inlineStr">
        <is>
          <t>オンプレミスのZFSベースのファイルサーバーをアプリを変えずに移行したい</t>
        </is>
      </c>
      <c r="F168" s="38" t="inlineStr">
        <is>
          <t>★</t>
        </is>
      </c>
      <c r="G168" s="39" t="n"/>
    </row>
    <row r="169" ht="29.85" customHeight="1" s="22">
      <c r="A169" s="34" t="n">
        <v>165</v>
      </c>
      <c r="B169" s="35" t="inlineStr">
        <is>
          <t>データベース</t>
        </is>
      </c>
      <c r="C169" s="36" t="inlineStr">
        <is>
          <t>Amazon RDS Custom</t>
        </is>
      </c>
      <c r="D169" s="35" t="inlineStr">
        <is>
          <t>OSやDBエンジンの基盤にアクセスできるRDS(Oracle・SQL Serverが対象)。自動バックアップなどRDSの管理機能を保ちつつ、OSレベルのカスタマイズや独自パッチの適用ができる</t>
        </is>
      </c>
      <c r="E169" s="37" t="inlineStr">
        <is>
          <t>パッケージアプリの要件でDBサーバーのOSへのアクセス・カスタマイズが必要だが、マネージドの利点も残したい</t>
        </is>
      </c>
      <c r="F169" s="38" t="inlineStr">
        <is>
          <t>★</t>
        </is>
      </c>
      <c r="G169" s="39" t="n"/>
    </row>
    <row r="170" ht="29.85" customHeight="1" s="22">
      <c r="A170" s="34" t="n">
        <v>166</v>
      </c>
      <c r="B170" s="35" t="inlineStr">
        <is>
          <t>データベース</t>
        </is>
      </c>
      <c r="C170" s="36" t="inlineStr">
        <is>
          <t>Amazon RDS on Outposts</t>
        </is>
      </c>
      <c r="D170" s="35" t="inlineStr">
        <is>
          <t>AWS Outpostsを使い、オンプレミス(自社データセンターなど)でRDSのマネージドDBを実行する</t>
        </is>
      </c>
      <c r="E170" s="37" t="inlineStr">
        <is>
          <t>データをオンプレミスに置く必要がある(データ所在地要件)・オンプレのアプリから超低レイテンシでDBを使いたい</t>
        </is>
      </c>
      <c r="F170" s="38" t="inlineStr">
        <is>
          <t>★</t>
        </is>
      </c>
      <c r="G170" s="39" t="n"/>
    </row>
    <row r="171" ht="29.85" customHeight="1" s="22">
      <c r="A171" s="34" t="n">
        <v>167</v>
      </c>
      <c r="B171" s="35" t="inlineStr">
        <is>
          <t>分析</t>
        </is>
      </c>
      <c r="C171" s="36" t="inlineStr">
        <is>
          <t>Amazon CloudSearch</t>
        </is>
      </c>
      <c r="D171" s="35" t="inlineStr">
        <is>
          <t>Webサイトやアプリ向けの検索機能をシンプルに構築できるマネージド型の検索サービス。新規の利用は受け付けておらず、OpenSearch Serviceへの移行が推奨されている</t>
        </is>
      </c>
      <c r="E171" s="37" t="inlineStr">
        <is>
          <t>試験ではほぼ出題されない。検索・ログ分析の要件はOpenSearch Serviceを選ぶ</t>
        </is>
      </c>
      <c r="F171" s="38" t="inlineStr">
        <is>
          <t>★</t>
        </is>
      </c>
      <c r="G171" s="39" t="n"/>
    </row>
    <row r="172" ht="29.85" customHeight="1" s="22">
      <c r="A172" s="34" t="n">
        <v>168</v>
      </c>
      <c r="B172" s="35" t="inlineStr">
        <is>
          <t>ネットワーク</t>
        </is>
      </c>
      <c r="C172" s="36" t="inlineStr">
        <is>
          <t>AWS Client VPN</t>
        </is>
      </c>
      <c r="D172" s="35" t="inlineStr">
        <is>
          <t>OpenVPNベースのクライアントソフトを使い、個々のユーザーの端末からAWSやオンプレミスのネットワークへ安全に接続するマネージドVPN</t>
        </is>
      </c>
      <c r="E172" s="37" t="inlineStr">
        <is>
          <t>リモートワークの社員がPCから社内ネットワーク・VPCへ安全にアクセスしたい(拠点間の接続はSite-to-Site VPN)</t>
        </is>
      </c>
      <c r="F172" s="38" t="inlineStr">
        <is>
          <t>★★</t>
        </is>
      </c>
      <c r="G172" s="39" t="n"/>
    </row>
    <row r="173" ht="29.85" customHeight="1" s="22">
      <c r="A173" s="34" t="n">
        <v>169</v>
      </c>
      <c r="B173" s="35" t="inlineStr">
        <is>
          <t>ネットワーク</t>
        </is>
      </c>
      <c r="C173" s="36" t="inlineStr">
        <is>
          <t>AWS Cloud WAN</t>
        </is>
      </c>
      <c r="D173" s="35" t="inlineStr">
        <is>
          <t>複数リージョン・多数のVPC・オンプレミス拠点をつなぐグローバルなネットワークを、中央のポリシーで一元的に構築・管理するサービス</t>
        </is>
      </c>
      <c r="E173" s="37" t="inlineStr">
        <is>
          <t>複数リージョンにまたがる大規模なグローバルネットワークをまとめて管理したい</t>
        </is>
      </c>
      <c r="F173" s="38" t="inlineStr">
        <is>
          <t>★</t>
        </is>
      </c>
      <c r="G173" s="39" t="n"/>
    </row>
  </sheetData>
  <autoFilter ref="A4:G173"/>
  <conditionalFormatting sqref="A5:G173">
    <cfRule type="expression" rank="0" priority="2" equalAverage="0" aboveAverage="0" dxfId="6" text="" percent="0" bottom="0">
      <formula>$F5="★★★"</formula>
    </cfRule>
  </conditionalFormatting>
  <dataValidations count="1">
    <dataValidation sqref="G5:G173" showDropDown="0" showInputMessage="0" showErrorMessage="0" allowBlank="1" type="list" errorStyle="stop" operator="between">
      <formula1>"◎ 説明できる,○ なんとなく,△ 要復習"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1" min="1" max="1"/>
    <col width="12" customWidth="1" style="21" min="2" max="2"/>
    <col width="10" customWidth="1" style="21" min="3" max="3"/>
    <col width="13" customWidth="1" style="21" min="4" max="5"/>
    <col width="11" customWidth="1" style="21" min="6" max="6"/>
    <col width="16" customWidth="1" style="21" min="7" max="7"/>
  </cols>
  <sheetData>
    <row r="1" ht="16.15" customHeight="1" s="22">
      <c r="A1" s="40" t="inlineStr">
        <is>
          <t>分野別キーワード数と学習進捗</t>
        </is>
      </c>
    </row>
    <row r="3" ht="15" customHeight="1" s="22">
      <c r="A3" s="41" t="inlineStr">
        <is>
          <t>分野</t>
        </is>
      </c>
      <c r="B3" s="41" t="inlineStr">
        <is>
          <t>キーワード数</t>
        </is>
      </c>
      <c r="C3" s="41" t="inlineStr">
        <is>
          <t>うち★★★</t>
        </is>
      </c>
      <c r="D3" s="41" t="inlineStr">
        <is>
          <t>◎ 説明できる</t>
        </is>
      </c>
      <c r="E3" s="41" t="inlineStr">
        <is>
          <t>○ なんとなく</t>
        </is>
      </c>
      <c r="F3" s="41" t="inlineStr">
        <is>
          <t>△ 要復習</t>
        </is>
      </c>
      <c r="G3" s="41" t="inlineStr">
        <is>
          <t>習得率(◎の割合)</t>
        </is>
      </c>
    </row>
    <row r="4" ht="15" customHeight="1" s="22">
      <c r="A4" s="42" t="inlineStr">
        <is>
          <t>コンピューティング</t>
        </is>
      </c>
      <c r="B4" s="43">
        <f>COUNTIF(キーワード一覧!$B$5:$B$173,A4)</f>
        <v/>
      </c>
      <c r="C4" s="43">
        <f>COUNTIFS(キーワード一覧!$B$5:$B$173,A4,キーワード一覧!$F$5:$F$173,"★★★")</f>
        <v/>
      </c>
      <c r="D4" s="43">
        <f>COUNTIFS(キーワード一覧!$B$5:$B$173,A4,キーワード一覧!$G$5:$G$173,"◎*")</f>
        <v/>
      </c>
      <c r="E4" s="43">
        <f>COUNTIFS(キーワード一覧!$B$5:$B$173,A4,キーワード一覧!$G$5:$G$173,"○*")</f>
        <v/>
      </c>
      <c r="F4" s="43">
        <f>COUNTIFS(キーワード一覧!$B$5:$B$173,A4,キーワード一覧!$G$5:$G$173,"△*")</f>
        <v/>
      </c>
      <c r="G4" s="44">
        <f>IF(B4=0,0,D4/B4)</f>
        <v/>
      </c>
    </row>
    <row r="5" ht="15" customHeight="1" s="22">
      <c r="A5" s="42" t="inlineStr">
        <is>
          <t>ストレージ</t>
        </is>
      </c>
      <c r="B5" s="43">
        <f>COUNTIF(キーワード一覧!$B$5:$B$173,A5)</f>
        <v/>
      </c>
      <c r="C5" s="43">
        <f>COUNTIFS(キーワード一覧!$B$5:$B$173,A5,キーワード一覧!$F$5:$F$173,"★★★")</f>
        <v/>
      </c>
      <c r="D5" s="43">
        <f>COUNTIFS(キーワード一覧!$B$5:$B$173,A5,キーワード一覧!$G$5:$G$173,"◎*")</f>
        <v/>
      </c>
      <c r="E5" s="43">
        <f>COUNTIFS(キーワード一覧!$B$5:$B$173,A5,キーワード一覧!$G$5:$G$173,"○*")</f>
        <v/>
      </c>
      <c r="F5" s="43">
        <f>COUNTIFS(キーワード一覧!$B$5:$B$173,A5,キーワード一覧!$G$5:$G$173,"△*")</f>
        <v/>
      </c>
      <c r="G5" s="44">
        <f>IF(B5=0,0,D5/B5)</f>
        <v/>
      </c>
    </row>
    <row r="6" ht="15" customHeight="1" s="22">
      <c r="A6" s="42" t="inlineStr">
        <is>
          <t>データベース</t>
        </is>
      </c>
      <c r="B6" s="43">
        <f>COUNTIF(キーワード一覧!$B$5:$B$173,A6)</f>
        <v/>
      </c>
      <c r="C6" s="43">
        <f>COUNTIFS(キーワード一覧!$B$5:$B$173,A6,キーワード一覧!$F$5:$F$173,"★★★")</f>
        <v/>
      </c>
      <c r="D6" s="43">
        <f>COUNTIFS(キーワード一覧!$B$5:$B$173,A6,キーワード一覧!$G$5:$G$173,"◎*")</f>
        <v/>
      </c>
      <c r="E6" s="43">
        <f>COUNTIFS(キーワード一覧!$B$5:$B$173,A6,キーワード一覧!$G$5:$G$173,"○*")</f>
        <v/>
      </c>
      <c r="F6" s="43">
        <f>COUNTIFS(キーワード一覧!$B$5:$B$173,A6,キーワード一覧!$G$5:$G$173,"△*")</f>
        <v/>
      </c>
      <c r="G6" s="44">
        <f>IF(B6=0,0,D6/B6)</f>
        <v/>
      </c>
    </row>
    <row r="7" ht="15" customHeight="1" s="22">
      <c r="A7" s="42" t="inlineStr">
        <is>
          <t>ネットワーク</t>
        </is>
      </c>
      <c r="B7" s="43">
        <f>COUNTIF(キーワード一覧!$B$5:$B$173,A7)</f>
        <v/>
      </c>
      <c r="C7" s="43">
        <f>COUNTIFS(キーワード一覧!$B$5:$B$173,A7,キーワード一覧!$F$5:$F$173,"★★★")</f>
        <v/>
      </c>
      <c r="D7" s="43">
        <f>COUNTIFS(キーワード一覧!$B$5:$B$173,A7,キーワード一覧!$G$5:$G$173,"◎*")</f>
        <v/>
      </c>
      <c r="E7" s="43">
        <f>COUNTIFS(キーワード一覧!$B$5:$B$173,A7,キーワード一覧!$G$5:$G$173,"○*")</f>
        <v/>
      </c>
      <c r="F7" s="43">
        <f>COUNTIFS(キーワード一覧!$B$5:$B$173,A7,キーワード一覧!$G$5:$G$173,"△*")</f>
        <v/>
      </c>
      <c r="G7" s="44">
        <f>IF(B7=0,0,D7/B7)</f>
        <v/>
      </c>
    </row>
    <row r="8" ht="15" customHeight="1" s="22">
      <c r="A8" s="42" t="inlineStr">
        <is>
          <t>セキュリティ</t>
        </is>
      </c>
      <c r="B8" s="43">
        <f>COUNTIF(キーワード一覧!$B$5:$B$173,A8)</f>
        <v/>
      </c>
      <c r="C8" s="43">
        <f>COUNTIFS(キーワード一覧!$B$5:$B$173,A8,キーワード一覧!$F$5:$F$173,"★★★")</f>
        <v/>
      </c>
      <c r="D8" s="43">
        <f>COUNTIFS(キーワード一覧!$B$5:$B$173,A8,キーワード一覧!$G$5:$G$173,"◎*")</f>
        <v/>
      </c>
      <c r="E8" s="43">
        <f>COUNTIFS(キーワード一覧!$B$5:$B$173,A8,キーワード一覧!$G$5:$G$173,"○*")</f>
        <v/>
      </c>
      <c r="F8" s="43">
        <f>COUNTIFS(キーワード一覧!$B$5:$B$173,A8,キーワード一覧!$G$5:$G$173,"△*")</f>
        <v/>
      </c>
      <c r="G8" s="44">
        <f>IF(B8=0,0,D8/B8)</f>
        <v/>
      </c>
    </row>
    <row r="9" ht="15" customHeight="1" s="22">
      <c r="A9" s="42" t="inlineStr">
        <is>
          <t>アプリケーション統合</t>
        </is>
      </c>
      <c r="B9" s="43">
        <f>COUNTIF(キーワード一覧!$B$5:$B$173,A9)</f>
        <v/>
      </c>
      <c r="C9" s="43">
        <f>COUNTIFS(キーワード一覧!$B$5:$B$173,A9,キーワード一覧!$F$5:$F$173,"★★★")</f>
        <v/>
      </c>
      <c r="D9" s="43">
        <f>COUNTIFS(キーワード一覧!$B$5:$B$173,A9,キーワード一覧!$G$5:$G$173,"◎*")</f>
        <v/>
      </c>
      <c r="E9" s="43">
        <f>COUNTIFS(キーワード一覧!$B$5:$B$173,A9,キーワード一覧!$G$5:$G$173,"○*")</f>
        <v/>
      </c>
      <c r="F9" s="43">
        <f>COUNTIFS(キーワード一覧!$B$5:$B$173,A9,キーワード一覧!$G$5:$G$173,"△*")</f>
        <v/>
      </c>
      <c r="G9" s="44">
        <f>IF(B9=0,0,D9/B9)</f>
        <v/>
      </c>
    </row>
    <row r="10" ht="15" customHeight="1" s="22">
      <c r="A10" s="42" t="inlineStr">
        <is>
          <t>分析</t>
        </is>
      </c>
      <c r="B10" s="43">
        <f>COUNTIF(キーワード一覧!$B$5:$B$173,A10)</f>
        <v/>
      </c>
      <c r="C10" s="43">
        <f>COUNTIFS(キーワード一覧!$B$5:$B$173,A10,キーワード一覧!$F$5:$F$173,"★★★")</f>
        <v/>
      </c>
      <c r="D10" s="43">
        <f>COUNTIFS(キーワード一覧!$B$5:$B$173,A10,キーワード一覧!$G$5:$G$173,"◎*")</f>
        <v/>
      </c>
      <c r="E10" s="43">
        <f>COUNTIFS(キーワード一覧!$B$5:$B$173,A10,キーワード一覧!$G$5:$G$173,"○*")</f>
        <v/>
      </c>
      <c r="F10" s="43">
        <f>COUNTIFS(キーワード一覧!$B$5:$B$173,A10,キーワード一覧!$G$5:$G$173,"△*")</f>
        <v/>
      </c>
      <c r="G10" s="44">
        <f>IF(B10=0,0,D10/B10)</f>
        <v/>
      </c>
    </row>
    <row r="11" ht="15" customHeight="1" s="22">
      <c r="A11" s="42" t="inlineStr">
        <is>
          <t>管理・監視</t>
        </is>
      </c>
      <c r="B11" s="43">
        <f>COUNTIF(キーワード一覧!$B$5:$B$173,A11)</f>
        <v/>
      </c>
      <c r="C11" s="43">
        <f>COUNTIFS(キーワード一覧!$B$5:$B$173,A11,キーワード一覧!$F$5:$F$173,"★★★")</f>
        <v/>
      </c>
      <c r="D11" s="43">
        <f>COUNTIFS(キーワード一覧!$B$5:$B$173,A11,キーワード一覧!$G$5:$G$173,"◎*")</f>
        <v/>
      </c>
      <c r="E11" s="43">
        <f>COUNTIFS(キーワード一覧!$B$5:$B$173,A11,キーワード一覧!$G$5:$G$173,"○*")</f>
        <v/>
      </c>
      <c r="F11" s="43">
        <f>COUNTIFS(キーワード一覧!$B$5:$B$173,A11,キーワード一覧!$G$5:$G$173,"△*")</f>
        <v/>
      </c>
      <c r="G11" s="44">
        <f>IF(B11=0,0,D11/B11)</f>
        <v/>
      </c>
    </row>
    <row r="12" ht="15" customHeight="1" s="22">
      <c r="A12" s="42" t="inlineStr">
        <is>
          <t>移行</t>
        </is>
      </c>
      <c r="B12" s="43">
        <f>COUNTIF(キーワード一覧!$B$5:$B$173,A12)</f>
        <v/>
      </c>
      <c r="C12" s="43">
        <f>COUNTIFS(キーワード一覧!$B$5:$B$173,A12,キーワード一覧!$F$5:$F$173,"★★★")</f>
        <v/>
      </c>
      <c r="D12" s="43">
        <f>COUNTIFS(キーワード一覧!$B$5:$B$173,A12,キーワード一覧!$G$5:$G$173,"◎*")</f>
        <v/>
      </c>
      <c r="E12" s="43">
        <f>COUNTIFS(キーワード一覧!$B$5:$B$173,A12,キーワード一覧!$G$5:$G$173,"○*")</f>
        <v/>
      </c>
      <c r="F12" s="43">
        <f>COUNTIFS(キーワード一覧!$B$5:$B$173,A12,キーワード一覧!$G$5:$G$173,"△*")</f>
        <v/>
      </c>
      <c r="G12" s="44">
        <f>IF(B12=0,0,D12/B12)</f>
        <v/>
      </c>
    </row>
    <row r="13" ht="15" customHeight="1" s="22">
      <c r="A13" s="42" t="inlineStr">
        <is>
          <t>コスト管理</t>
        </is>
      </c>
      <c r="B13" s="43">
        <f>COUNTIF(キーワード一覧!$B$5:$B$173,A13)</f>
        <v/>
      </c>
      <c r="C13" s="43">
        <f>COUNTIFS(キーワード一覧!$B$5:$B$173,A13,キーワード一覧!$F$5:$F$173,"★★★")</f>
        <v/>
      </c>
      <c r="D13" s="43">
        <f>COUNTIFS(キーワード一覧!$B$5:$B$173,A13,キーワード一覧!$G$5:$G$173,"◎*")</f>
        <v/>
      </c>
      <c r="E13" s="43">
        <f>COUNTIFS(キーワード一覧!$B$5:$B$173,A13,キーワード一覧!$G$5:$G$173,"○*")</f>
        <v/>
      </c>
      <c r="F13" s="43">
        <f>COUNTIFS(キーワード一覧!$B$5:$B$173,A13,キーワード一覧!$G$5:$G$173,"△*")</f>
        <v/>
      </c>
      <c r="G13" s="44">
        <f>IF(B13=0,0,D13/B13)</f>
        <v/>
      </c>
    </row>
    <row r="14" ht="15" customHeight="1" s="22">
      <c r="A14" s="45" t="inlineStr">
        <is>
          <t>AI/ML</t>
        </is>
      </c>
      <c r="B14" s="43">
        <f>COUNTIF(キーワード一覧!$B$5:$B$173,A14)</f>
        <v/>
      </c>
      <c r="C14" s="43">
        <f>COUNTIFS(キーワード一覧!$B$5:$B$173,A14,キーワード一覧!$F$5:$F$173,"★★★")</f>
        <v/>
      </c>
      <c r="D14" s="43">
        <f>COUNTIFS(キーワード一覧!$B$5:$B$173,A14,キーワード一覧!$G$5:$G$173,"◎*")</f>
        <v/>
      </c>
      <c r="E14" s="43">
        <f>COUNTIFS(キーワード一覧!$B$5:$B$173,A14,キーワード一覧!$G$5:$G$173,"○*")</f>
        <v/>
      </c>
      <c r="F14" s="43">
        <f>COUNTIFS(キーワード一覧!$B$5:$B$173,A14,キーワード一覧!$G$5:$G$173,"△*")</f>
        <v/>
      </c>
      <c r="G14" s="44">
        <f>IF(B14=0,0,D14/B14)</f>
        <v/>
      </c>
    </row>
    <row r="15" ht="15" customHeight="1" s="22">
      <c r="A15" s="42" t="inlineStr">
        <is>
          <t>設計原則</t>
        </is>
      </c>
      <c r="B15" s="43">
        <f>COUNTIF(キーワード一覧!$B$5:$B$173,A15)</f>
        <v/>
      </c>
      <c r="C15" s="43">
        <f>COUNTIFS(キーワード一覧!$B$5:$B$173,A15,キーワード一覧!$F$5:$F$173,"★★★")</f>
        <v/>
      </c>
      <c r="D15" s="43">
        <f>COUNTIFS(キーワード一覧!$B$5:$B$173,A15,キーワード一覧!$G$5:$G$173,"◎*")</f>
        <v/>
      </c>
      <c r="E15" s="43">
        <f>COUNTIFS(キーワード一覧!$B$5:$B$173,A15,キーワード一覧!$G$5:$G$173,"○*")</f>
        <v/>
      </c>
      <c r="F15" s="43">
        <f>COUNTIFS(キーワード一覧!$B$5:$B$173,A15,キーワード一覧!$G$5:$G$173,"△*")</f>
        <v/>
      </c>
      <c r="G15" s="44">
        <f>IF(B15=0,0,D15/B15)</f>
        <v/>
      </c>
    </row>
    <row r="16" ht="15" customHeight="1" s="22">
      <c r="A16" s="46" t="inlineStr">
        <is>
          <t>合計</t>
        </is>
      </c>
      <c r="B16" s="47">
        <f>SUM(B4:B15)</f>
        <v/>
      </c>
      <c r="C16" s="47">
        <f>SUM(C4:C15)</f>
        <v/>
      </c>
      <c r="D16" s="47">
        <f>SUM(D4:D15)</f>
        <v/>
      </c>
      <c r="E16" s="47">
        <f>SUM(E4:E15)</f>
        <v/>
      </c>
      <c r="F16" s="47">
        <f>SUM(F4:F15)</f>
        <v/>
      </c>
      <c r="G16" s="48">
        <f>IF(B16=0,0,D16/B16)</f>
        <v/>
      </c>
    </row>
    <row r="18" ht="15" customHeight="1" s="22">
      <c r="A18" s="24" t="inlineStr">
        <is>
          <t>※ 数値は「キーワード一覧」シートの分野・重要度・理解度から自動計算されます。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2026-10-13T00:18:01Z</dcterms:created>
  <dcterms:modified xsi:type="dcterms:W3CDTF">2026-10-18T23:12:11Z</dcterms:modified>
  <cp:revision>0</cp:revision>
</cp:coreProperties>
</file>