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キーワード一覧" sheetId="1" state="visible" r:id="rId3"/>
    <sheet name="分野別集計" sheetId="2" state="visible" r:id="rId4"/>
  </sheets>
  <definedNames>
    <definedName function="false" hidden="false" localSheetId="0" name="_xlnm.Print_Titles" vbProcedure="false">キーワード一覧!$4:$4</definedName>
    <definedName function="false" hidden="true" localSheetId="0" name="_xlnm._FilterDatabase" vbProcedure="false">キーワード一覧!$A$4:$G$155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<sst xmlns="http://schemas.openxmlformats.org/spreadsheetml/2006/main" count="786" uniqueCount="486">
  <si>
    <r>
      <rPr>
        <b val="true"/>
        <sz val="14"/>
        <rFont val="Arial"/>
        <family val="0"/>
        <charset val="1"/>
      </rPr>
      <t xml:space="preserve">AWS </t>
    </r>
    <r>
      <rPr>
        <b val="true"/>
        <sz val="14"/>
        <rFont val="Noto Sans CJK SC"/>
        <family val="2"/>
      </rPr>
      <t xml:space="preserve">認定ソリューションアーキテクト – アソシエイト</t>
    </r>
    <r>
      <rPr>
        <b val="true"/>
        <sz val="14"/>
        <rFont val="Arial"/>
        <family val="0"/>
        <charset val="1"/>
      </rPr>
      <t xml:space="preserve">(SAA-C03)</t>
    </r>
    <r>
      <rPr>
        <b val="true"/>
        <sz val="14"/>
        <rFont val="Noto Sans CJK SC"/>
        <family val="2"/>
      </rPr>
      <t xml:space="preserve">重要キーワード集</t>
    </r>
  </si>
  <si>
    <r>
      <rPr>
        <sz val="9"/>
        <color rgb="FF595959"/>
        <rFont val="Noto Sans CJK SC"/>
        <family val="2"/>
      </rPr>
      <t xml:space="preserve">重要度</t>
    </r>
    <r>
      <rPr>
        <sz val="9"/>
        <color rgb="FF595959"/>
        <rFont val="Arial"/>
        <family val="0"/>
        <charset val="1"/>
      </rPr>
      <t xml:space="preserve">:★★★=</t>
    </r>
    <r>
      <rPr>
        <sz val="9"/>
        <color rgb="FF595959"/>
        <rFont val="Noto Sans CJK SC"/>
        <family val="2"/>
      </rPr>
      <t xml:space="preserve">最頻出 </t>
    </r>
    <r>
      <rPr>
        <sz val="9"/>
        <color rgb="FF595959"/>
        <rFont val="Arial"/>
        <family val="0"/>
        <charset val="1"/>
      </rPr>
      <t xml:space="preserve">/ ★★=</t>
    </r>
    <r>
      <rPr>
        <sz val="9"/>
        <color rgb="FF595959"/>
        <rFont val="Noto Sans CJK SC"/>
        <family val="2"/>
      </rPr>
      <t xml:space="preserve">頻出 </t>
    </r>
    <r>
      <rPr>
        <sz val="9"/>
        <color rgb="FF595959"/>
        <rFont val="Arial"/>
        <family val="0"/>
        <charset val="1"/>
      </rPr>
      <t xml:space="preserve">/ ★=</t>
    </r>
    <r>
      <rPr>
        <sz val="9"/>
        <color rgb="FF595959"/>
        <rFont val="Noto Sans CJK SC"/>
        <family val="2"/>
      </rPr>
      <t xml:space="preserve">押さえておきたい。「理解度」列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黄色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はプルダウンで自分の習熟度を記録できます。</t>
    </r>
  </si>
  <si>
    <t xml:space="preserve">No</t>
  </si>
  <si>
    <t xml:space="preserve">分野</t>
  </si>
  <si>
    <t xml:space="preserve">キーワード</t>
  </si>
  <si>
    <t xml:space="preserve">概要</t>
  </si>
  <si>
    <t xml:space="preserve">試験での頻出ポイント</t>
  </si>
  <si>
    <t xml:space="preserve">重要度</t>
  </si>
  <si>
    <t xml:space="preserve">理解度</t>
  </si>
  <si>
    <t xml:space="preserve">コンピューティング</t>
  </si>
  <si>
    <t xml:space="preserve">Amazon EC2</t>
  </si>
  <si>
    <r>
      <rPr>
        <sz val="10"/>
        <rFont val="Noto Sans CJK SC"/>
        <family val="2"/>
      </rPr>
      <t xml:space="preserve">仮想サーバー。インスタンスタイプ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汎用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コンピューティング最適化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メモリ最適化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ストレージ最適化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高速コンピューティング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を選んで起動する</t>
    </r>
  </si>
  <si>
    <t xml:space="preserve">ワークロードに合うインスタンスファミリーの選択</t>
  </si>
  <si>
    <t xml:space="preserve">★★★</t>
  </si>
  <si>
    <t xml:space="preserve">オンデマンドインスタンス</t>
  </si>
  <si>
    <r>
      <rPr>
        <sz val="10"/>
        <rFont val="Noto Sans CJK SC"/>
        <family val="2"/>
      </rPr>
      <t xml:space="preserve">秒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時間単位課金で長期契約なし</t>
    </r>
  </si>
  <si>
    <t xml:space="preserve">短期・予測不能・中断不可のワークロード</t>
  </si>
  <si>
    <r>
      <rPr>
        <b val="true"/>
        <sz val="10"/>
        <rFont val="Noto Sans CJK SC"/>
        <family val="2"/>
      </rPr>
      <t xml:space="preserve">リザーブドインスタンス</t>
    </r>
    <r>
      <rPr>
        <b val="true"/>
        <sz val="10"/>
        <rFont val="Arial"/>
        <family val="0"/>
        <charset val="1"/>
      </rPr>
      <t xml:space="preserve">(RI)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</si>
  <si>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年</t>
    </r>
    <r>
      <rPr>
        <sz val="10"/>
        <rFont val="Arial"/>
        <family val="0"/>
        <charset val="1"/>
      </rPr>
      <t xml:space="preserve">/3</t>
    </r>
    <r>
      <rPr>
        <sz val="10"/>
        <rFont val="Noto Sans CJK SC"/>
        <family val="2"/>
      </rPr>
      <t xml:space="preserve">年の利用を約束して大幅割引。スタンダードとコンバーティブルがある</t>
    </r>
  </si>
  <si>
    <t xml:space="preserve">常時稼働の安定ワークロードのコスト削減</t>
  </si>
  <si>
    <t xml:space="preserve">Savings Plans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</si>
  <si>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年</t>
    </r>
    <r>
      <rPr>
        <sz val="10"/>
        <rFont val="Arial"/>
        <family val="0"/>
        <charset val="1"/>
      </rPr>
      <t xml:space="preserve">/3</t>
    </r>
    <r>
      <rPr>
        <sz val="10"/>
        <rFont val="Noto Sans CJK SC"/>
        <family val="2"/>
      </rPr>
      <t xml:space="preserve">年で時間あたりの利用額をコミットして割引。</t>
    </r>
    <r>
      <rPr>
        <sz val="10"/>
        <rFont val="Arial"/>
        <family val="0"/>
        <charset val="1"/>
      </rPr>
      <t xml:space="preserve">Compute Savings Plans</t>
    </r>
    <r>
      <rPr>
        <sz val="10"/>
        <rFont val="Noto Sans CJK SC"/>
        <family val="2"/>
      </rPr>
      <t xml:space="preserve">は</t>
    </r>
    <r>
      <rPr>
        <sz val="10"/>
        <rFont val="Arial"/>
        <family val="0"/>
        <charset val="1"/>
      </rPr>
      <t xml:space="preserve">EC2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Fargate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Lambda</t>
    </r>
    <r>
      <rPr>
        <sz val="10"/>
        <rFont val="Noto Sans CJK SC"/>
        <family val="2"/>
      </rPr>
      <t xml:space="preserve">に適用</t>
    </r>
  </si>
  <si>
    <r>
      <rPr>
        <sz val="10"/>
        <rFont val="Noto Sans CJK SC"/>
        <family val="2"/>
      </rPr>
      <t xml:space="preserve">インスタンスタイプやリージョンを変える可能性がある場合は</t>
    </r>
    <r>
      <rPr>
        <sz val="10"/>
        <rFont val="Arial"/>
        <family val="0"/>
        <charset val="1"/>
      </rPr>
      <t xml:space="preserve">RI</t>
    </r>
    <r>
      <rPr>
        <sz val="10"/>
        <rFont val="Noto Sans CJK SC"/>
        <family val="2"/>
      </rPr>
      <t xml:space="preserve">より柔軟</t>
    </r>
  </si>
  <si>
    <t xml:space="preserve">スポットインスタンス</t>
  </si>
  <si>
    <r>
      <rPr>
        <sz val="10"/>
        <rFont val="Arial"/>
        <family val="0"/>
        <charset val="1"/>
      </rPr>
      <t xml:space="preserve">AWS</t>
    </r>
    <r>
      <rPr>
        <sz val="10"/>
        <rFont val="Noto Sans CJK SC"/>
        <family val="2"/>
      </rPr>
      <t xml:space="preserve">の余剰キャパシティを最大</t>
    </r>
    <r>
      <rPr>
        <sz val="10"/>
        <rFont val="Arial"/>
        <family val="0"/>
        <charset val="1"/>
      </rPr>
      <t xml:space="preserve">90%</t>
    </r>
    <r>
      <rPr>
        <sz val="10"/>
        <rFont val="Noto Sans CJK SC"/>
        <family val="2"/>
      </rPr>
      <t xml:space="preserve">割引で利用。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分前通知で中断されうる</t>
    </r>
  </si>
  <si>
    <r>
      <rPr>
        <sz val="10"/>
        <rFont val="Noto Sans CJK SC"/>
        <family val="2"/>
      </rPr>
      <t xml:space="preserve">中断耐性のあるバッチ処理・ビッグデータ処理・</t>
    </r>
    <r>
      <rPr>
        <sz val="10"/>
        <rFont val="Arial"/>
        <family val="0"/>
        <charset val="1"/>
      </rPr>
      <t xml:space="preserve">CI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など中断不可には不向き</t>
    </r>
  </si>
  <si>
    <t xml:space="preserve">Dedicated Hosts / Dedicated Instances</t>
  </si>
  <si>
    <r>
      <rPr>
        <sz val="10"/>
        <rFont val="Noto Sans CJK SC"/>
        <family val="2"/>
      </rPr>
      <t xml:space="preserve">物理サーバーを専有。</t>
    </r>
    <r>
      <rPr>
        <sz val="10"/>
        <rFont val="Arial"/>
        <family val="0"/>
        <charset val="1"/>
      </rPr>
      <t xml:space="preserve">Dedicated Hosts</t>
    </r>
    <r>
      <rPr>
        <sz val="10"/>
        <rFont val="Noto Sans CJK SC"/>
        <family val="2"/>
      </rPr>
      <t xml:space="preserve">はソケット・コア単位のライセンス持ち込み</t>
    </r>
    <r>
      <rPr>
        <sz val="10"/>
        <rFont val="Arial"/>
        <family val="0"/>
        <charset val="1"/>
      </rPr>
      <t xml:space="preserve">(BYOL)</t>
    </r>
    <r>
      <rPr>
        <sz val="10"/>
        <rFont val="Noto Sans CJK SC"/>
        <family val="2"/>
      </rPr>
      <t xml:space="preserve">が可能</t>
    </r>
  </si>
  <si>
    <t xml:space="preserve">ライセンス要件・コンプライアンス要件があるとき</t>
  </si>
  <si>
    <t xml:space="preserve">★★</t>
  </si>
  <si>
    <t xml:space="preserve">プレイスメントグループ</t>
  </si>
  <si>
    <r>
      <rPr>
        <sz val="10"/>
        <rFont val="Noto Sans CJK SC"/>
        <family val="2"/>
      </rPr>
      <t xml:space="preserve">インスタンスの物理配置を制御。クラスター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低レイテンシ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、パーティション</t>
    </r>
    <r>
      <rPr>
        <sz val="10"/>
        <rFont val="Arial"/>
        <family val="0"/>
        <charset val="1"/>
      </rPr>
      <t xml:space="preserve">(Hadoop</t>
    </r>
    <r>
      <rPr>
        <sz val="10"/>
        <rFont val="Noto Sans CJK SC"/>
        <family val="2"/>
      </rPr>
      <t xml:space="preserve">等の大規模分散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、スプレッド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障害分離・</t>
    </r>
    <r>
      <rPr>
        <sz val="10"/>
        <rFont val="Arial"/>
        <family val="0"/>
        <charset val="1"/>
      </rPr>
      <t xml:space="preserve">AZ</t>
    </r>
    <r>
      <rPr>
        <sz val="10"/>
        <rFont val="Noto Sans CJK SC"/>
        <family val="2"/>
      </rPr>
      <t xml:space="preserve">あたり最大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</si>
  <si>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HPC</t>
    </r>
    <r>
      <rPr>
        <sz val="10"/>
        <rFont val="Noto Sans CJK SC"/>
        <family val="2"/>
      </rPr>
      <t xml:space="preserve">はクラスター、重要少数インスタンスの分離はスプレッド</t>
    </r>
  </si>
  <si>
    <t xml:space="preserve">EC2 Auto Scaling</t>
  </si>
  <si>
    <r>
      <rPr>
        <sz val="10"/>
        <rFont val="Noto Sans CJK SC"/>
        <family val="2"/>
      </rPr>
      <t xml:space="preserve">需要に応じてインスタンス数を自動増減。起動テンプレート、ターゲット追跡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ステップ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スケジュール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予測スケーリング</t>
    </r>
  </si>
  <si>
    <r>
      <rPr>
        <sz val="10"/>
        <rFont val="Noto Sans CJK SC"/>
        <family val="2"/>
      </rPr>
      <t xml:space="preserve">ヘルスチェックによる自動復旧、</t>
    </r>
    <r>
      <rPr>
        <sz val="10"/>
        <rFont val="Arial"/>
        <family val="0"/>
        <charset val="1"/>
      </rPr>
      <t xml:space="preserve">ELB</t>
    </r>
    <r>
      <rPr>
        <sz val="10"/>
        <rFont val="Noto Sans CJK SC"/>
        <family val="2"/>
      </rPr>
      <t xml:space="preserve">との組み合わせで高可用性</t>
    </r>
  </si>
  <si>
    <t xml:space="preserve">起動テンプレート</t>
  </si>
  <si>
    <r>
      <rPr>
        <sz val="10"/>
        <rFont val="Arial"/>
        <family val="0"/>
        <charset val="1"/>
      </rPr>
      <t xml:space="preserve">AMI</t>
    </r>
    <r>
      <rPr>
        <sz val="10"/>
        <rFont val="Noto Sans CJK SC"/>
        <family val="2"/>
      </rPr>
      <t xml:space="preserve">・インスタンスタイプ・</t>
    </r>
    <r>
      <rPr>
        <sz val="10"/>
        <rFont val="Arial"/>
        <family val="0"/>
        <charset val="1"/>
      </rPr>
      <t xml:space="preserve">SG</t>
    </r>
    <r>
      <rPr>
        <sz val="10"/>
        <rFont val="Noto Sans CJK SC"/>
        <family val="2"/>
      </rPr>
      <t xml:space="preserve">など起動設定のテンプレート。起動設定</t>
    </r>
    <r>
      <rPr>
        <sz val="10"/>
        <rFont val="Arial"/>
        <family val="0"/>
        <charset val="1"/>
      </rPr>
      <t xml:space="preserve">(Launch Configuration)</t>
    </r>
    <r>
      <rPr>
        <sz val="10"/>
        <rFont val="Noto Sans CJK SC"/>
        <family val="2"/>
      </rPr>
      <t xml:space="preserve">の後継</t>
    </r>
  </si>
  <si>
    <t xml:space="preserve">バージョン管理可能。複数インスタンスタイプ・スポット混在に対応</t>
  </si>
  <si>
    <t xml:space="preserve">★</t>
  </si>
  <si>
    <t xml:space="preserve">AMI</t>
  </si>
  <si>
    <r>
      <rPr>
        <sz val="10"/>
        <rFont val="Arial"/>
        <family val="0"/>
        <charset val="1"/>
      </rPr>
      <t xml:space="preserve">EC2</t>
    </r>
    <r>
      <rPr>
        <sz val="10"/>
        <rFont val="Noto Sans CJK SC"/>
        <family val="2"/>
      </rPr>
      <t xml:space="preserve">の起動イメージ。リージョン単位で、別リージョンへはコピーが必要</t>
    </r>
  </si>
  <si>
    <r>
      <rPr>
        <sz val="10"/>
        <rFont val="Arial"/>
        <family val="0"/>
        <charset val="1"/>
      </rPr>
      <t xml:space="preserve">DR</t>
    </r>
    <r>
      <rPr>
        <sz val="10"/>
        <rFont val="Noto Sans CJK SC"/>
        <family val="2"/>
      </rPr>
      <t xml:space="preserve">で別リージョンに</t>
    </r>
    <r>
      <rPr>
        <sz val="10"/>
        <rFont val="Arial"/>
        <family val="0"/>
        <charset val="1"/>
      </rPr>
      <t xml:space="preserve">AMI</t>
    </r>
    <r>
      <rPr>
        <sz val="10"/>
        <rFont val="Noto Sans CJK SC"/>
        <family val="2"/>
      </rPr>
      <t xml:space="preserve">をコピー</t>
    </r>
  </si>
  <si>
    <r>
      <rPr>
        <b val="true"/>
        <sz val="10"/>
        <rFont val="Arial"/>
        <family val="0"/>
        <charset val="1"/>
      </rPr>
      <t xml:space="preserve">EC2</t>
    </r>
    <r>
      <rPr>
        <b val="true"/>
        <sz val="10"/>
        <rFont val="Noto Sans CJK SC"/>
        <family val="2"/>
      </rPr>
      <t xml:space="preserve">インスタンスストア</t>
    </r>
  </si>
  <si>
    <t xml:space="preserve">ホストに物理接続された一時ストレージ。停止・終了でデータ消失</t>
  </si>
  <si>
    <r>
      <rPr>
        <sz val="10"/>
        <rFont val="Noto Sans CJK SC"/>
        <family val="2"/>
      </rPr>
      <t xml:space="preserve">超高</t>
    </r>
    <r>
      <rPr>
        <sz val="10"/>
        <rFont val="Arial"/>
        <family val="0"/>
        <charset val="1"/>
      </rPr>
      <t xml:space="preserve">IOPS</t>
    </r>
    <r>
      <rPr>
        <sz val="10"/>
        <rFont val="Noto Sans CJK SC"/>
        <family val="2"/>
      </rPr>
      <t xml:space="preserve">の一時データ・キャッシュ用。永続化が必要なら不可</t>
    </r>
  </si>
  <si>
    <t xml:space="preserve">AWS Lambda</t>
  </si>
  <si>
    <r>
      <rPr>
        <sz val="10"/>
        <rFont val="Noto Sans CJK SC"/>
        <family val="2"/>
      </rPr>
      <t xml:space="preserve">サーバーレスでコードを実行。最大実行時間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分、メモリ最大</t>
    </r>
    <r>
      <rPr>
        <sz val="10"/>
        <rFont val="Arial"/>
        <family val="0"/>
        <charset val="1"/>
      </rPr>
      <t xml:space="preserve">10GB</t>
    </r>
    <r>
      <rPr>
        <sz val="10"/>
        <rFont val="Noto Sans CJK SC"/>
        <family val="2"/>
      </rPr>
      <t xml:space="preserve">、リクエスト単位課金</t>
    </r>
  </si>
  <si>
    <r>
      <rPr>
        <sz val="10"/>
        <rFont val="Noto Sans CJK SC"/>
        <family val="2"/>
      </rPr>
      <t xml:space="preserve">イベント駆動処理</t>
    </r>
    <r>
      <rPr>
        <sz val="10"/>
        <rFont val="Arial"/>
        <family val="0"/>
        <charset val="1"/>
      </rPr>
      <t xml:space="preserve">(S3</t>
    </r>
    <r>
      <rPr>
        <sz val="10"/>
        <rFont val="Noto Sans CJK SC"/>
        <family val="2"/>
      </rPr>
      <t xml:space="preserve">アップロード等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分超の処理は不向き</t>
    </r>
  </si>
  <si>
    <t xml:space="preserve">Amazon ECS</t>
  </si>
  <si>
    <r>
      <rPr>
        <sz val="10"/>
        <rFont val="Arial"/>
        <family val="0"/>
        <charset val="1"/>
      </rPr>
      <t xml:space="preserve">AWS</t>
    </r>
    <r>
      <rPr>
        <sz val="10"/>
        <rFont val="Noto Sans CJK SC"/>
        <family val="2"/>
      </rPr>
      <t xml:space="preserve">独自のコンテナオーケストレーション。起動タイプは</t>
    </r>
    <r>
      <rPr>
        <sz val="10"/>
        <rFont val="Arial"/>
        <family val="0"/>
        <charset val="1"/>
      </rPr>
      <t xml:space="preserve">EC2</t>
    </r>
    <r>
      <rPr>
        <sz val="10"/>
        <rFont val="Noto Sans CJK SC"/>
        <family val="2"/>
      </rPr>
      <t xml:space="preserve">または</t>
    </r>
    <r>
      <rPr>
        <sz val="10"/>
        <rFont val="Arial"/>
        <family val="0"/>
        <charset val="1"/>
      </rPr>
      <t xml:space="preserve">Fargate</t>
    </r>
  </si>
  <si>
    <t xml:space="preserve">コンテナ化アプリのデプロイ</t>
  </si>
  <si>
    <t xml:space="preserve">Amazon EKS</t>
  </si>
  <si>
    <r>
      <rPr>
        <sz val="10"/>
        <rFont val="Noto Sans CJK SC"/>
        <family val="2"/>
      </rPr>
      <t xml:space="preserve">マネージド</t>
    </r>
    <r>
      <rPr>
        <sz val="10"/>
        <rFont val="Arial"/>
        <family val="0"/>
        <charset val="1"/>
      </rPr>
      <t xml:space="preserve">Kubernetes</t>
    </r>
  </si>
  <si>
    <r>
      <rPr>
        <sz val="10"/>
        <rFont val="Noto Sans CJK SC"/>
        <family val="2"/>
      </rPr>
      <t xml:space="preserve">既存の</t>
    </r>
    <r>
      <rPr>
        <sz val="10"/>
        <rFont val="Arial"/>
        <family val="0"/>
        <charset val="1"/>
      </rPr>
      <t xml:space="preserve">Kubernetes</t>
    </r>
    <r>
      <rPr>
        <sz val="10"/>
        <rFont val="Noto Sans CJK SC"/>
        <family val="2"/>
      </rPr>
      <t xml:space="preserve">資産をそのまま移行したい場合</t>
    </r>
  </si>
  <si>
    <t xml:space="preserve">AWS Fargate</t>
  </si>
  <si>
    <r>
      <rPr>
        <sz val="10"/>
        <rFont val="Noto Sans CJK SC"/>
        <family val="2"/>
      </rPr>
      <t xml:space="preserve">サーバー管理不要でコンテナを実行するサーバーレスエンジン</t>
    </r>
    <r>
      <rPr>
        <sz val="10"/>
        <rFont val="Arial"/>
        <family val="0"/>
        <charset val="1"/>
      </rPr>
      <t xml:space="preserve">(ECS/EKS</t>
    </r>
    <r>
      <rPr>
        <sz val="10"/>
        <rFont val="Noto Sans CJK SC"/>
        <family val="2"/>
      </rPr>
      <t xml:space="preserve">で利用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</si>
  <si>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「インフラ管理なしでコンテナ」→</t>
    </r>
    <r>
      <rPr>
        <sz val="10"/>
        <rFont val="Arial"/>
        <family val="0"/>
        <charset val="1"/>
      </rPr>
      <t xml:space="preserve">Fargate</t>
    </r>
  </si>
  <si>
    <t xml:space="preserve">AWS Elastic Beanstalk</t>
  </si>
  <si>
    <r>
      <rPr>
        <sz val="10"/>
        <rFont val="Noto Sans CJK SC"/>
        <family val="2"/>
      </rPr>
      <t xml:space="preserve">コードをアップロードするだけで</t>
    </r>
    <r>
      <rPr>
        <sz val="10"/>
        <rFont val="Arial"/>
        <family val="0"/>
        <charset val="1"/>
      </rPr>
      <t xml:space="preserve">EC2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ELB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Auto Scaling</t>
    </r>
    <r>
      <rPr>
        <sz val="10"/>
        <rFont val="Noto Sans CJK SC"/>
        <family val="2"/>
      </rPr>
      <t xml:space="preserve">等を自動構築する</t>
    </r>
    <r>
      <rPr>
        <sz val="10"/>
        <rFont val="Arial"/>
        <family val="0"/>
        <charset val="1"/>
      </rPr>
      <t xml:space="preserve">PaaS</t>
    </r>
  </si>
  <si>
    <t xml:space="preserve">開発者がインフラを意識せず素早くデプロイしたい場合</t>
  </si>
  <si>
    <t xml:space="preserve">AWS Batch</t>
  </si>
  <si>
    <t xml:space="preserve">バッチジョブのスケジューリングと実行を管理。スポットと相性が良い</t>
  </si>
  <si>
    <r>
      <rPr>
        <sz val="10"/>
        <rFont val="Arial"/>
        <family val="0"/>
        <charset val="1"/>
      </rPr>
      <t xml:space="preserve">Lambda</t>
    </r>
    <r>
      <rPr>
        <sz val="10"/>
        <rFont val="Noto Sans CJK SC"/>
        <family val="2"/>
      </rPr>
      <t xml:space="preserve">の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分制限を超える大規模バッチ</t>
    </r>
  </si>
  <si>
    <t xml:space="preserve">ストレージ</t>
  </si>
  <si>
    <t xml:space="preserve">Amazon S3</t>
  </si>
  <si>
    <r>
      <rPr>
        <sz val="10"/>
        <rFont val="Noto Sans CJK SC"/>
        <family val="2"/>
      </rPr>
      <t xml:space="preserve">オブジェクトストレージ。耐久性</t>
    </r>
    <r>
      <rPr>
        <sz val="10"/>
        <rFont val="Arial"/>
        <family val="0"/>
        <charset val="1"/>
      </rPr>
      <t xml:space="preserve">99.999999999%(</t>
    </r>
    <r>
      <rPr>
        <sz val="10"/>
        <rFont val="Noto Sans CJK SC"/>
        <family val="2"/>
      </rPr>
      <t xml:space="preserve">イレブンナイン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、容量無制限、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オブジェクト最大</t>
    </r>
    <r>
      <rPr>
        <sz val="10"/>
        <rFont val="Arial"/>
        <family val="0"/>
        <charset val="1"/>
      </rPr>
      <t xml:space="preserve">5TB</t>
    </r>
  </si>
  <si>
    <r>
      <rPr>
        <sz val="10"/>
        <rFont val="Noto Sans CJK SC"/>
        <family val="2"/>
      </rPr>
      <t xml:space="preserve">静的コンテンツ・データレイク・バックアップ。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は強い整合性</t>
    </r>
    <r>
      <rPr>
        <sz val="10"/>
        <rFont val="Arial"/>
        <family val="0"/>
        <charset val="1"/>
      </rPr>
      <t xml:space="preserve">(read-after-write)</t>
    </r>
  </si>
  <si>
    <r>
      <rPr>
        <b val="true"/>
        <sz val="10"/>
        <rFont val="Arial"/>
        <family val="0"/>
        <charset val="1"/>
      </rPr>
      <t xml:space="preserve">S3</t>
    </r>
    <r>
      <rPr>
        <b val="true"/>
        <sz val="10"/>
        <rFont val="Noto Sans CJK SC"/>
        <family val="2"/>
      </rPr>
      <t xml:space="preserve">ストレージクラス</t>
    </r>
  </si>
  <si>
    <t xml:space="preserve">Standard / Intelligent-Tiering / Standard-IA / One Zone-IA / Glacier Instant Retrieval / Glacier Flexible Retrieval / Glacier Deep Archive</t>
  </si>
  <si>
    <r>
      <rPr>
        <sz val="10"/>
        <rFont val="Noto Sans CJK SC"/>
        <family val="2"/>
      </rPr>
      <t xml:space="preserve">アクセス頻度と取り出し時間の要件で選ぶ。アクセスパターン不明→</t>
    </r>
    <r>
      <rPr>
        <sz val="10"/>
        <rFont val="Arial"/>
        <family val="0"/>
        <charset val="1"/>
      </rPr>
      <t xml:space="preserve">Intelligent-Tiering</t>
    </r>
  </si>
  <si>
    <t xml:space="preserve">S3 Glacier Deep Archive</t>
  </si>
  <si>
    <r>
      <rPr>
        <sz val="10"/>
        <rFont val="Noto Sans CJK SC"/>
        <family val="2"/>
      </rPr>
      <t xml:space="preserve">最安のアーカイブ。取り出しに標準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時間以内</t>
    </r>
  </si>
  <si>
    <r>
      <rPr>
        <sz val="10"/>
        <rFont val="Noto Sans CJK SC"/>
        <family val="2"/>
      </rPr>
      <t xml:space="preserve">長期保管</t>
    </r>
    <r>
      <rPr>
        <sz val="10"/>
        <rFont val="Arial"/>
        <family val="0"/>
        <charset val="1"/>
      </rPr>
      <t xml:space="preserve">(7</t>
    </r>
    <r>
      <rPr>
        <sz val="10"/>
        <rFont val="Noto Sans CJK SC"/>
        <family val="2"/>
      </rPr>
      <t xml:space="preserve">〜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年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・コンプライアンス用、取り出し頻度ほぼゼロ</t>
    </r>
  </si>
  <si>
    <r>
      <rPr>
        <b val="true"/>
        <sz val="10"/>
        <rFont val="Arial"/>
        <family val="0"/>
        <charset val="1"/>
      </rPr>
      <t xml:space="preserve">S3</t>
    </r>
    <r>
      <rPr>
        <b val="true"/>
        <sz val="10"/>
        <rFont val="Noto Sans CJK SC"/>
        <family val="2"/>
      </rPr>
      <t xml:space="preserve">ライフサイクルポリシー</t>
    </r>
  </si>
  <si>
    <t xml:space="preserve">経過日数に応じてストレージクラスを自動移行・自動削除</t>
  </si>
  <si>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日後に</t>
    </r>
    <r>
      <rPr>
        <sz val="10"/>
        <rFont val="Arial"/>
        <family val="0"/>
        <charset val="1"/>
      </rPr>
      <t xml:space="preserve">IA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90</t>
    </r>
    <r>
      <rPr>
        <sz val="10"/>
        <rFont val="Noto Sans CJK SC"/>
        <family val="2"/>
      </rPr>
      <t xml:space="preserve">日後に</t>
    </r>
    <r>
      <rPr>
        <sz val="10"/>
        <rFont val="Arial"/>
        <family val="0"/>
        <charset val="1"/>
      </rPr>
      <t xml:space="preserve">Glacier</t>
    </r>
    <r>
      <rPr>
        <sz val="10"/>
        <rFont val="Noto Sans CJK SC"/>
        <family val="2"/>
      </rPr>
      <t xml:space="preserve">」型の問題</t>
    </r>
  </si>
  <si>
    <r>
      <rPr>
        <b val="true"/>
        <sz val="10"/>
        <rFont val="Arial"/>
        <family val="0"/>
        <charset val="1"/>
      </rPr>
      <t xml:space="preserve">S3</t>
    </r>
    <r>
      <rPr>
        <b val="true"/>
        <sz val="10"/>
        <rFont val="Noto Sans CJK SC"/>
        <family val="2"/>
      </rPr>
      <t xml:space="preserve">バージョニング</t>
    </r>
  </si>
  <si>
    <t xml:space="preserve">オブジェクトの全バージョンを保持し、誤削除・上書きから保護</t>
  </si>
  <si>
    <r>
      <rPr>
        <sz val="10"/>
        <rFont val="Noto Sans CJK SC"/>
        <family val="2"/>
      </rPr>
      <t xml:space="preserve">誤削除対策。レプリケーションや</t>
    </r>
    <r>
      <rPr>
        <sz val="10"/>
        <rFont val="Arial"/>
        <family val="0"/>
        <charset val="1"/>
      </rPr>
      <t xml:space="preserve">Object Lock</t>
    </r>
    <r>
      <rPr>
        <sz val="10"/>
        <rFont val="Noto Sans CJK SC"/>
        <family val="2"/>
      </rPr>
      <t xml:space="preserve">の前提条件</t>
    </r>
  </si>
  <si>
    <r>
      <rPr>
        <b val="true"/>
        <sz val="10"/>
        <rFont val="Arial"/>
        <family val="0"/>
        <charset val="1"/>
      </rPr>
      <t xml:space="preserve">S3</t>
    </r>
    <r>
      <rPr>
        <b val="true"/>
        <sz val="10"/>
        <rFont val="Noto Sans CJK SC"/>
        <family val="2"/>
      </rPr>
      <t xml:space="preserve">レプリケーション</t>
    </r>
    <r>
      <rPr>
        <b val="true"/>
        <sz val="10"/>
        <rFont val="Arial"/>
        <family val="0"/>
        <charset val="1"/>
      </rPr>
      <t xml:space="preserve">(CRR/SRR)</t>
    </r>
  </si>
  <si>
    <r>
      <rPr>
        <sz val="10"/>
        <rFont val="Noto Sans CJK SC"/>
        <family val="2"/>
      </rPr>
      <t xml:space="preserve">別リージョン</t>
    </r>
    <r>
      <rPr>
        <sz val="10"/>
        <rFont val="Arial"/>
        <family val="0"/>
        <charset val="1"/>
      </rPr>
      <t xml:space="preserve">(CRR)</t>
    </r>
    <r>
      <rPr>
        <sz val="10"/>
        <rFont val="Noto Sans CJK SC"/>
        <family val="2"/>
      </rPr>
      <t xml:space="preserve">または同一リージョン</t>
    </r>
    <r>
      <rPr>
        <sz val="10"/>
        <rFont val="Arial"/>
        <family val="0"/>
        <charset val="1"/>
      </rPr>
      <t xml:space="preserve">(SRR)</t>
    </r>
    <r>
      <rPr>
        <sz val="10"/>
        <rFont val="Noto Sans CJK SC"/>
        <family val="2"/>
      </rPr>
      <t xml:space="preserve">へ自動複製。バージョニング必須</t>
    </r>
  </si>
  <si>
    <r>
      <rPr>
        <sz val="10"/>
        <rFont val="Arial"/>
        <family val="0"/>
        <charset val="1"/>
      </rPr>
      <t xml:space="preserve">DR</t>
    </r>
    <r>
      <rPr>
        <sz val="10"/>
        <rFont val="Noto Sans CJK SC"/>
        <family val="2"/>
      </rPr>
      <t xml:space="preserve">・レイテンシ削減・コンプライアンス</t>
    </r>
  </si>
  <si>
    <t xml:space="preserve">S3 Object Lock</t>
  </si>
  <si>
    <r>
      <rPr>
        <sz val="10"/>
        <rFont val="Arial"/>
        <family val="0"/>
        <charset val="1"/>
      </rPr>
      <t xml:space="preserve">WORM(</t>
    </r>
    <r>
      <rPr>
        <sz val="10"/>
        <rFont val="Noto Sans CJK SC"/>
        <family val="2"/>
      </rPr>
      <t xml:space="preserve">書き込み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回・読み取り多数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でオブジェクトの削除・変更を防止。ガバナンス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コンプライアンスモード</t>
    </r>
  </si>
  <si>
    <t xml:space="preserve">規制要件で改ざん防止が必要な場合</t>
  </si>
  <si>
    <r>
      <rPr>
        <b val="true"/>
        <sz val="10"/>
        <rFont val="Arial"/>
        <family val="0"/>
        <charset val="1"/>
      </rPr>
      <t xml:space="preserve">S3</t>
    </r>
    <r>
      <rPr>
        <b val="true"/>
        <sz val="10"/>
        <rFont val="Noto Sans CJK SC"/>
        <family val="2"/>
      </rPr>
      <t xml:space="preserve">署名付き</t>
    </r>
    <r>
      <rPr>
        <b val="true"/>
        <sz val="10"/>
        <rFont val="Arial"/>
        <family val="0"/>
        <charset val="1"/>
      </rPr>
      <t xml:space="preserve">URL(Presigned URL)</t>
    </r>
  </si>
  <si>
    <r>
      <rPr>
        <sz val="10"/>
        <rFont val="Noto Sans CJK SC"/>
        <family val="2"/>
      </rPr>
      <t xml:space="preserve">期限付きで特定オブジェクトへのアクセスを許可する</t>
    </r>
    <r>
      <rPr>
        <sz val="10"/>
        <rFont val="Arial"/>
        <family val="0"/>
        <charset val="1"/>
      </rPr>
      <t xml:space="preserve">URL</t>
    </r>
  </si>
  <si>
    <t xml:space="preserve">非公開バケットのファイルを一時的に共有・アップロードさせる</t>
  </si>
  <si>
    <t xml:space="preserve">S3 Transfer Acceleration</t>
  </si>
  <si>
    <r>
      <rPr>
        <sz val="10"/>
        <rFont val="Arial"/>
        <family val="0"/>
        <charset val="1"/>
      </rPr>
      <t xml:space="preserve">CloudFront</t>
    </r>
    <r>
      <rPr>
        <sz val="10"/>
        <rFont val="Noto Sans CJK SC"/>
        <family val="2"/>
      </rPr>
      <t xml:space="preserve">のエッジを経由して遠隔地からの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アップロードを高速化</t>
    </r>
  </si>
  <si>
    <r>
      <rPr>
        <sz val="10"/>
        <rFont val="Noto Sans CJK SC"/>
        <family val="2"/>
      </rPr>
      <t xml:space="preserve">世界中から大容量ファイルを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つのバケットへアップロード</t>
    </r>
  </si>
  <si>
    <t xml:space="preserve">マルチパートアップロード</t>
  </si>
  <si>
    <r>
      <rPr>
        <sz val="10"/>
        <rFont val="Noto Sans CJK SC"/>
        <family val="2"/>
      </rPr>
      <t xml:space="preserve">大きなオブジェクトを分割して並列アップロード。</t>
    </r>
    <r>
      <rPr>
        <sz val="10"/>
        <rFont val="Arial"/>
        <family val="0"/>
        <charset val="1"/>
      </rPr>
      <t xml:space="preserve">100MB</t>
    </r>
    <r>
      <rPr>
        <sz val="10"/>
        <rFont val="Noto Sans CJK SC"/>
        <family val="2"/>
      </rPr>
      <t xml:space="preserve">超で推奨、</t>
    </r>
    <r>
      <rPr>
        <sz val="10"/>
        <rFont val="Arial"/>
        <family val="0"/>
        <charset val="1"/>
      </rPr>
      <t xml:space="preserve">5GB</t>
    </r>
    <r>
      <rPr>
        <sz val="10"/>
        <rFont val="Noto Sans CJK SC"/>
        <family val="2"/>
      </rPr>
      <t xml:space="preserve">超は必須</t>
    </r>
  </si>
  <si>
    <t xml:space="preserve">大容量ファイルのアップロード高速化・再送効率化</t>
  </si>
  <si>
    <r>
      <rPr>
        <b val="true"/>
        <sz val="10"/>
        <rFont val="Arial"/>
        <family val="0"/>
        <charset val="1"/>
      </rPr>
      <t xml:space="preserve">S3</t>
    </r>
    <r>
      <rPr>
        <b val="true"/>
        <sz val="10"/>
        <rFont val="Noto Sans CJK SC"/>
        <family val="2"/>
      </rPr>
      <t xml:space="preserve">イベント通知</t>
    </r>
  </si>
  <si>
    <r>
      <rPr>
        <sz val="10"/>
        <rFont val="Noto Sans CJK SC"/>
        <family val="2"/>
      </rPr>
      <t xml:space="preserve">オブジェクト作成・削除時に</t>
    </r>
    <r>
      <rPr>
        <sz val="10"/>
        <rFont val="Arial"/>
        <family val="0"/>
        <charset val="1"/>
      </rPr>
      <t xml:space="preserve">Lambda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SQS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SNS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EventBridge</t>
    </r>
    <r>
      <rPr>
        <sz val="10"/>
        <rFont val="Noto Sans CJK SC"/>
        <family val="2"/>
      </rPr>
      <t xml:space="preserve">へ通知</t>
    </r>
  </si>
  <si>
    <r>
      <rPr>
        <sz val="10"/>
        <rFont val="Noto Sans CJK SC"/>
        <family val="2"/>
      </rPr>
      <t xml:space="preserve">アップロードをトリガーにした処理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サムネイル生成等</t>
    </r>
    <r>
      <rPr>
        <sz val="10"/>
        <rFont val="Arial"/>
        <family val="0"/>
        <charset val="1"/>
      </rPr>
      <t xml:space="preserve">)</t>
    </r>
  </si>
  <si>
    <t xml:space="preserve">Amazon EBS</t>
  </si>
  <si>
    <r>
      <rPr>
        <sz val="10"/>
        <rFont val="Arial"/>
        <family val="0"/>
        <charset val="1"/>
      </rPr>
      <t xml:space="preserve">EC2</t>
    </r>
    <r>
      <rPr>
        <sz val="10"/>
        <rFont val="Noto Sans CJK SC"/>
        <family val="2"/>
      </rPr>
      <t xml:space="preserve">用ブロックストレージ。</t>
    </r>
    <r>
      <rPr>
        <sz val="10"/>
        <rFont val="Arial"/>
        <family val="0"/>
        <charset val="1"/>
      </rPr>
      <t xml:space="preserve">AZ</t>
    </r>
    <r>
      <rPr>
        <sz val="10"/>
        <rFont val="Noto Sans CJK SC"/>
        <family val="2"/>
      </rPr>
      <t xml:space="preserve">単位で、同一</t>
    </r>
    <r>
      <rPr>
        <sz val="10"/>
        <rFont val="Arial"/>
        <family val="0"/>
        <charset val="1"/>
      </rPr>
      <t xml:space="preserve">AZ</t>
    </r>
    <r>
      <rPr>
        <sz val="10"/>
        <rFont val="Noto Sans CJK SC"/>
        <family val="2"/>
      </rPr>
      <t xml:space="preserve">のインスタンスにのみアタッチ可能</t>
    </r>
  </si>
  <si>
    <r>
      <rPr>
        <sz val="10"/>
        <rFont val="Arial"/>
        <family val="0"/>
        <charset val="1"/>
      </rPr>
      <t xml:space="preserve">gp3(</t>
    </r>
    <r>
      <rPr>
        <sz val="10"/>
        <rFont val="Noto Sans CJK SC"/>
        <family val="2"/>
      </rPr>
      <t xml:space="preserve">汎用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io2(</t>
    </r>
    <r>
      <rPr>
        <sz val="10"/>
        <rFont val="Noto Sans CJK SC"/>
        <family val="2"/>
      </rPr>
      <t xml:space="preserve">高</t>
    </r>
    <r>
      <rPr>
        <sz val="10"/>
        <rFont val="Arial"/>
        <family val="0"/>
        <charset val="1"/>
      </rPr>
      <t xml:space="preserve">IOPS/DB</t>
    </r>
    <r>
      <rPr>
        <sz val="10"/>
        <rFont val="Noto Sans CJK SC"/>
        <family val="2"/>
      </rPr>
      <t xml:space="preserve">向け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st1(</t>
    </r>
    <r>
      <rPr>
        <sz val="10"/>
        <rFont val="Noto Sans CJK SC"/>
        <family val="2"/>
      </rPr>
      <t xml:space="preserve">スループット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sc1(</t>
    </r>
    <r>
      <rPr>
        <sz val="10"/>
        <rFont val="Noto Sans CJK SC"/>
        <family val="2"/>
      </rPr>
      <t xml:space="preserve">コールド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の選択</t>
    </r>
  </si>
  <si>
    <r>
      <rPr>
        <b val="true"/>
        <sz val="10"/>
        <rFont val="Arial"/>
        <family val="0"/>
        <charset val="1"/>
      </rPr>
      <t xml:space="preserve">EBS</t>
    </r>
    <r>
      <rPr>
        <b val="true"/>
        <sz val="10"/>
        <rFont val="Noto Sans CJK SC"/>
        <family val="2"/>
      </rPr>
      <t xml:space="preserve">スナップショット</t>
    </r>
  </si>
  <si>
    <r>
      <rPr>
        <sz val="10"/>
        <rFont val="Arial"/>
        <family val="0"/>
        <charset val="1"/>
      </rPr>
      <t xml:space="preserve">EBS</t>
    </r>
    <r>
      <rPr>
        <sz val="10"/>
        <rFont val="Noto Sans CJK SC"/>
        <family val="2"/>
      </rPr>
      <t xml:space="preserve">の増分バックアップ</t>
    </r>
    <r>
      <rPr>
        <sz val="10"/>
        <rFont val="Arial"/>
        <family val="0"/>
        <charset val="1"/>
      </rPr>
      <t xml:space="preserve">(S3</t>
    </r>
    <r>
      <rPr>
        <sz val="10"/>
        <rFont val="Noto Sans CJK SC"/>
        <family val="2"/>
      </rPr>
      <t xml:space="preserve">に保存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。別リージョンへコピー可能</t>
    </r>
  </si>
  <si>
    <r>
      <rPr>
        <sz val="10"/>
        <rFont val="Noto Sans CJK SC"/>
        <family val="2"/>
      </rPr>
      <t xml:space="preserve">別</t>
    </r>
    <r>
      <rPr>
        <sz val="10"/>
        <rFont val="Arial"/>
        <family val="0"/>
        <charset val="1"/>
      </rPr>
      <t xml:space="preserve">AZ</t>
    </r>
    <r>
      <rPr>
        <sz val="10"/>
        <rFont val="Noto Sans CJK SC"/>
        <family val="2"/>
      </rPr>
      <t xml:space="preserve">へのボリューム移動・</t>
    </r>
    <r>
      <rPr>
        <sz val="10"/>
        <rFont val="Arial"/>
        <family val="0"/>
        <charset val="1"/>
      </rPr>
      <t xml:space="preserve">DR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Data Lifecycle Manager</t>
    </r>
    <r>
      <rPr>
        <sz val="10"/>
        <rFont val="Noto Sans CJK SC"/>
        <family val="2"/>
      </rPr>
      <t xml:space="preserve">で自動化</t>
    </r>
  </si>
  <si>
    <r>
      <rPr>
        <b val="true"/>
        <sz val="10"/>
        <rFont val="Arial"/>
        <family val="0"/>
        <charset val="1"/>
      </rPr>
      <t xml:space="preserve">EBS</t>
    </r>
    <r>
      <rPr>
        <b val="true"/>
        <sz val="10"/>
        <rFont val="Noto Sans CJK SC"/>
        <family val="2"/>
      </rPr>
      <t xml:space="preserve">マルチアタッチ</t>
    </r>
  </si>
  <si>
    <r>
      <rPr>
        <sz val="10"/>
        <rFont val="Arial"/>
        <family val="0"/>
        <charset val="1"/>
      </rPr>
      <t xml:space="preserve">io1/io2</t>
    </r>
    <r>
      <rPr>
        <sz val="10"/>
        <rFont val="Noto Sans CJK SC"/>
        <family val="2"/>
      </rPr>
      <t xml:space="preserve">ボリュームを同一</t>
    </r>
    <r>
      <rPr>
        <sz val="10"/>
        <rFont val="Arial"/>
        <family val="0"/>
        <charset val="1"/>
      </rPr>
      <t xml:space="preserve">AZ</t>
    </r>
    <r>
      <rPr>
        <sz val="10"/>
        <rFont val="Noto Sans CJK SC"/>
        <family val="2"/>
      </rPr>
      <t xml:space="preserve">内の複数インスタンスに同時接続</t>
    </r>
  </si>
  <si>
    <r>
      <rPr>
        <sz val="10"/>
        <rFont val="Noto Sans CJK SC"/>
        <family val="2"/>
      </rPr>
      <t xml:space="preserve">クラスター対応アプリのみ。通常の共有ファイルには</t>
    </r>
    <r>
      <rPr>
        <sz val="10"/>
        <rFont val="Arial"/>
        <family val="0"/>
        <charset val="1"/>
      </rPr>
      <t xml:space="preserve">EFS</t>
    </r>
  </si>
  <si>
    <t xml:space="preserve">Amazon EFS</t>
  </si>
  <si>
    <r>
      <rPr>
        <sz val="10"/>
        <rFont val="Arial"/>
        <family val="0"/>
        <charset val="1"/>
      </rPr>
      <t xml:space="preserve">Linux</t>
    </r>
    <r>
      <rPr>
        <sz val="10"/>
        <rFont val="Noto Sans CJK SC"/>
        <family val="2"/>
      </rPr>
      <t xml:space="preserve">向けマネージド</t>
    </r>
    <r>
      <rPr>
        <sz val="10"/>
        <rFont val="Arial"/>
        <family val="0"/>
        <charset val="1"/>
      </rPr>
      <t xml:space="preserve">NFS</t>
    </r>
    <r>
      <rPr>
        <sz val="10"/>
        <rFont val="Noto Sans CJK SC"/>
        <family val="2"/>
      </rPr>
      <t xml:space="preserve">。複数</t>
    </r>
    <r>
      <rPr>
        <sz val="10"/>
        <rFont val="Arial"/>
        <family val="0"/>
        <charset val="1"/>
      </rPr>
      <t xml:space="preserve">AZ</t>
    </r>
    <r>
      <rPr>
        <sz val="10"/>
        <rFont val="Noto Sans CJK SC"/>
        <family val="2"/>
      </rPr>
      <t xml:space="preserve">・多数の</t>
    </r>
    <r>
      <rPr>
        <sz val="10"/>
        <rFont val="Arial"/>
        <family val="0"/>
        <charset val="1"/>
      </rPr>
      <t xml:space="preserve">EC2</t>
    </r>
    <r>
      <rPr>
        <sz val="10"/>
        <rFont val="Noto Sans CJK SC"/>
        <family val="2"/>
      </rPr>
      <t xml:space="preserve">から同時マウント可能、自動拡張</t>
    </r>
  </si>
  <si>
    <r>
      <rPr>
        <sz val="10"/>
        <rFont val="Noto Sans CJK SC"/>
        <family val="2"/>
      </rPr>
      <t xml:space="preserve">複数インスタンスで共有するファイルストレージ</t>
    </r>
    <r>
      <rPr>
        <sz val="10"/>
        <rFont val="Arial"/>
        <family val="0"/>
        <charset val="1"/>
      </rPr>
      <t xml:space="preserve">(Linux)</t>
    </r>
  </si>
  <si>
    <t xml:space="preserve">Amazon FSx for Windows File Server</t>
  </si>
  <si>
    <r>
      <rPr>
        <sz val="10"/>
        <rFont val="Arial"/>
        <family val="0"/>
        <charset val="1"/>
      </rPr>
      <t xml:space="preserve">SMB</t>
    </r>
    <r>
      <rPr>
        <sz val="10"/>
        <rFont val="Noto Sans CJK SC"/>
        <family val="2"/>
      </rPr>
      <t xml:space="preserve">プロトコル・</t>
    </r>
    <r>
      <rPr>
        <sz val="10"/>
        <rFont val="Arial"/>
        <family val="0"/>
        <charset val="1"/>
      </rPr>
      <t xml:space="preserve">Active Directory</t>
    </r>
    <r>
      <rPr>
        <sz val="10"/>
        <rFont val="Noto Sans CJK SC"/>
        <family val="2"/>
      </rPr>
      <t xml:space="preserve">連携の</t>
    </r>
    <r>
      <rPr>
        <sz val="10"/>
        <rFont val="Arial"/>
        <family val="0"/>
        <charset val="1"/>
      </rPr>
      <t xml:space="preserve">Windows</t>
    </r>
    <r>
      <rPr>
        <sz val="10"/>
        <rFont val="Noto Sans CJK SC"/>
        <family val="2"/>
      </rPr>
      <t xml:space="preserve">ファイルサーバー</t>
    </r>
  </si>
  <si>
    <r>
      <rPr>
        <sz val="10"/>
        <rFont val="Arial"/>
        <family val="0"/>
        <charset val="1"/>
      </rPr>
      <t xml:space="preserve">Windows</t>
    </r>
    <r>
      <rPr>
        <sz val="10"/>
        <rFont val="Noto Sans CJK SC"/>
        <family val="2"/>
      </rPr>
      <t xml:space="preserve">環境の共有ファイル</t>
    </r>
  </si>
  <si>
    <t xml:space="preserve">Amazon FSx for Lustre</t>
  </si>
  <si>
    <r>
      <rPr>
        <sz val="10"/>
        <rFont val="Arial"/>
        <family val="0"/>
        <charset val="1"/>
      </rPr>
      <t xml:space="preserve">HPC</t>
    </r>
    <r>
      <rPr>
        <sz val="10"/>
        <rFont val="Noto Sans CJK SC"/>
        <family val="2"/>
      </rPr>
      <t xml:space="preserve">・機械学習向けの高性能並列ファイルシステム。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と連携可能</t>
    </r>
  </si>
  <si>
    <r>
      <rPr>
        <sz val="10"/>
        <rFont val="Arial"/>
        <family val="0"/>
        <charset val="1"/>
      </rPr>
      <t xml:space="preserve">HPC</t>
    </r>
    <r>
      <rPr>
        <sz val="10"/>
        <rFont val="Noto Sans CJK SC"/>
        <family val="2"/>
      </rPr>
      <t xml:space="preserve">・高速な大規模データ処理</t>
    </r>
  </si>
  <si>
    <t xml:space="preserve">AWS Storage Gateway</t>
  </si>
  <si>
    <r>
      <rPr>
        <sz val="10"/>
        <rFont val="Noto Sans CJK SC"/>
        <family val="2"/>
      </rPr>
      <t xml:space="preserve">オンプレミスとクラウドストレージをつなぐハイブリッドサービス。</t>
    </r>
    <r>
      <rPr>
        <sz val="10"/>
        <rFont val="Arial"/>
        <family val="0"/>
        <charset val="1"/>
      </rPr>
      <t xml:space="preserve">File / Volume / Tape Gateway</t>
    </r>
  </si>
  <si>
    <r>
      <rPr>
        <sz val="10"/>
        <rFont val="Noto Sans CJK SC"/>
        <family val="2"/>
      </rPr>
      <t xml:space="preserve">オンプレのバックアップを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へ、テープ置き換え</t>
    </r>
    <r>
      <rPr>
        <sz val="10"/>
        <rFont val="Arial"/>
        <family val="0"/>
        <charset val="1"/>
      </rPr>
      <t xml:space="preserve">(Tape Gateway)</t>
    </r>
  </si>
  <si>
    <r>
      <rPr>
        <b val="true"/>
        <sz val="10"/>
        <rFont val="Arial"/>
        <family val="0"/>
        <charset val="1"/>
      </rPr>
      <t xml:space="preserve">AWS Snow</t>
    </r>
    <r>
      <rPr>
        <b val="true"/>
        <sz val="10"/>
        <rFont val="Noto Sans CJK SC"/>
        <family val="2"/>
      </rPr>
      <t xml:space="preserve">ファミリー</t>
    </r>
  </si>
  <si>
    <r>
      <rPr>
        <sz val="10"/>
        <rFont val="Noto Sans CJK SC"/>
        <family val="2"/>
      </rPr>
      <t xml:space="preserve">物理デバイスで大容量データをオフライン移行</t>
    </r>
    <r>
      <rPr>
        <sz val="10"/>
        <rFont val="Arial"/>
        <family val="0"/>
        <charset val="1"/>
      </rPr>
      <t xml:space="preserve">(Snowball Edge</t>
    </r>
    <r>
      <rPr>
        <sz val="10"/>
        <rFont val="Noto Sans CJK SC"/>
        <family val="2"/>
      </rPr>
      <t xml:space="preserve">等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</si>
  <si>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ネットワークで数週間以上かかる</t>
    </r>
    <r>
      <rPr>
        <sz val="10"/>
        <rFont val="Arial"/>
        <family val="0"/>
        <charset val="1"/>
      </rPr>
      <t xml:space="preserve">TB</t>
    </r>
    <r>
      <rPr>
        <sz val="10"/>
        <rFont val="Noto Sans CJK SC"/>
        <family val="2"/>
      </rPr>
      <t xml:space="preserve">〜</t>
    </r>
    <r>
      <rPr>
        <sz val="10"/>
        <rFont val="Arial"/>
        <family val="0"/>
        <charset val="1"/>
      </rPr>
      <t xml:space="preserve">PB</t>
    </r>
    <r>
      <rPr>
        <sz val="10"/>
        <rFont val="Noto Sans CJK SC"/>
        <family val="2"/>
      </rPr>
      <t xml:space="preserve">級の移行</t>
    </r>
  </si>
  <si>
    <t xml:space="preserve">AWS DataSync</t>
  </si>
  <si>
    <r>
      <rPr>
        <sz val="10"/>
        <rFont val="Noto Sans CJK SC"/>
        <family val="2"/>
      </rPr>
      <t xml:space="preserve">オンプレ⇔</t>
    </r>
    <r>
      <rPr>
        <sz val="10"/>
        <rFont val="Arial"/>
        <family val="0"/>
        <charset val="1"/>
      </rPr>
      <t xml:space="preserve">AWS(S3/EFS/FSx)</t>
    </r>
    <r>
      <rPr>
        <sz val="10"/>
        <rFont val="Noto Sans CJK SC"/>
        <family val="2"/>
      </rPr>
      <t xml:space="preserve">間のオンラインデータ転送を自動化・高速化</t>
    </r>
  </si>
  <si>
    <r>
      <rPr>
        <sz val="10"/>
        <rFont val="Arial"/>
        <family val="0"/>
        <charset val="1"/>
      </rPr>
      <t xml:space="preserve">NFS/SMB</t>
    </r>
    <r>
      <rPr>
        <sz val="10"/>
        <rFont val="Noto Sans CJK SC"/>
        <family val="2"/>
      </rPr>
      <t xml:space="preserve">からの定期的なデータ移行・同期</t>
    </r>
  </si>
  <si>
    <t xml:space="preserve">AWS Backup</t>
  </si>
  <si>
    <r>
      <rPr>
        <sz val="10"/>
        <rFont val="Noto Sans CJK SC"/>
        <family val="2"/>
      </rPr>
      <t xml:space="preserve">複数サービス</t>
    </r>
    <r>
      <rPr>
        <sz val="10"/>
        <rFont val="Arial"/>
        <family val="0"/>
        <charset val="1"/>
      </rPr>
      <t xml:space="preserve">(EBS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RDS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DynamoDB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EFS</t>
    </r>
    <r>
      <rPr>
        <sz val="10"/>
        <rFont val="Noto Sans CJK SC"/>
        <family val="2"/>
      </rPr>
      <t xml:space="preserve">等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のバックアップを一元管理</t>
    </r>
  </si>
  <si>
    <r>
      <rPr>
        <sz val="10"/>
        <rFont val="Noto Sans CJK SC"/>
        <family val="2"/>
      </rPr>
      <t xml:space="preserve">バックアップポリシーの集中管理、クロスリージョン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クロスアカウントコピー</t>
    </r>
  </si>
  <si>
    <t xml:space="preserve">データベース</t>
  </si>
  <si>
    <t xml:space="preserve">Amazon RDS</t>
  </si>
  <si>
    <r>
      <rPr>
        <sz val="10"/>
        <rFont val="Noto Sans CJK SC"/>
        <family val="2"/>
      </rPr>
      <t xml:space="preserve">マネージド</t>
    </r>
    <r>
      <rPr>
        <sz val="10"/>
        <rFont val="Arial"/>
        <family val="0"/>
        <charset val="1"/>
      </rPr>
      <t xml:space="preserve">RDB(MySQL/PostgreSQL/MariaDB/Oracle/SQL Server)</t>
    </r>
  </si>
  <si>
    <r>
      <rPr>
        <sz val="10"/>
        <rFont val="Arial"/>
        <family val="0"/>
        <charset val="1"/>
      </rPr>
      <t xml:space="preserve">OS</t>
    </r>
    <r>
      <rPr>
        <sz val="10"/>
        <rFont val="Noto Sans CJK SC"/>
        <family val="2"/>
      </rPr>
      <t xml:space="preserve">パッチ・バックアップ・フェイルオーバーを</t>
    </r>
    <r>
      <rPr>
        <sz val="10"/>
        <rFont val="Arial"/>
        <family val="0"/>
        <charset val="1"/>
      </rPr>
      <t xml:space="preserve">AWS</t>
    </r>
    <r>
      <rPr>
        <sz val="10"/>
        <rFont val="Noto Sans CJK SC"/>
        <family val="2"/>
      </rPr>
      <t xml:space="preserve">に任せたいとき</t>
    </r>
  </si>
  <si>
    <r>
      <rPr>
        <b val="true"/>
        <sz val="10"/>
        <rFont val="Arial"/>
        <family val="0"/>
        <charset val="1"/>
      </rPr>
      <t xml:space="preserve">RDS</t>
    </r>
    <r>
      <rPr>
        <b val="true"/>
        <sz val="10"/>
        <rFont val="Noto Sans CJK SC"/>
        <family val="2"/>
      </rPr>
      <t xml:space="preserve">マルチ</t>
    </r>
    <r>
      <rPr>
        <b val="true"/>
        <sz val="10"/>
        <rFont val="Arial"/>
        <family val="0"/>
        <charset val="1"/>
      </rPr>
      <t xml:space="preserve">AZ</t>
    </r>
  </si>
  <si>
    <r>
      <rPr>
        <sz val="10"/>
        <rFont val="Noto Sans CJK SC"/>
        <family val="2"/>
      </rPr>
      <t xml:space="preserve">別</t>
    </r>
    <r>
      <rPr>
        <sz val="10"/>
        <rFont val="Arial"/>
        <family val="0"/>
        <charset val="1"/>
      </rPr>
      <t xml:space="preserve">AZ</t>
    </r>
    <r>
      <rPr>
        <sz val="10"/>
        <rFont val="Noto Sans CJK SC"/>
        <family val="2"/>
      </rPr>
      <t xml:space="preserve">にスタンバイを同期レプリケーション。障害時に自動フェイルオーバー</t>
    </r>
  </si>
  <si>
    <r>
      <rPr>
        <sz val="10"/>
        <rFont val="Noto Sans CJK SC"/>
        <family val="2"/>
      </rPr>
      <t xml:space="preserve">高可用性</t>
    </r>
    <r>
      <rPr>
        <sz val="10"/>
        <rFont val="Arial"/>
        <family val="0"/>
        <charset val="1"/>
      </rPr>
      <t xml:space="preserve">(HA)</t>
    </r>
    <r>
      <rPr>
        <sz val="10"/>
        <rFont val="Noto Sans CJK SC"/>
        <family val="2"/>
      </rPr>
      <t xml:space="preserve">目的。スタンバイは読み取り不可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従来型の場合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</si>
  <si>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RDS</t>
    </r>
    <r>
      <rPr>
        <b val="true"/>
        <sz val="10"/>
        <rFont val="Noto Sans CJK SC"/>
        <family val="2"/>
      </rPr>
      <t xml:space="preserve">リードレプリカ</t>
    </r>
  </si>
  <si>
    <t xml:space="preserve">非同期レプリケーションの読み取り専用コピー。クロスリージョン可能</t>
  </si>
  <si>
    <r>
      <rPr>
        <sz val="10"/>
        <rFont val="Noto Sans CJK SC"/>
        <family val="2"/>
      </rPr>
      <t xml:space="preserve">読み取り負荷の分散。</t>
    </r>
    <r>
      <rPr>
        <sz val="10"/>
        <rFont val="Arial"/>
        <family val="0"/>
        <charset val="1"/>
      </rPr>
      <t xml:space="preserve">HA</t>
    </r>
    <r>
      <rPr>
        <sz val="10"/>
        <rFont val="Noto Sans CJK SC"/>
        <family val="2"/>
      </rPr>
      <t xml:space="preserve">目的ならマルチ</t>
    </r>
    <r>
      <rPr>
        <sz val="10"/>
        <rFont val="Arial"/>
        <family val="0"/>
        <charset val="1"/>
      </rPr>
      <t xml:space="preserve">AZ</t>
    </r>
  </si>
  <si>
    <t xml:space="preserve">RDS Proxy</t>
  </si>
  <si>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接続をプール・共有し、フェイルオーバー時間も短縮</t>
    </r>
  </si>
  <si>
    <r>
      <rPr>
        <sz val="10"/>
        <rFont val="Arial"/>
        <family val="0"/>
        <charset val="1"/>
      </rPr>
      <t xml:space="preserve">Lambda</t>
    </r>
    <r>
      <rPr>
        <sz val="10"/>
        <rFont val="Noto Sans CJK SC"/>
        <family val="2"/>
      </rPr>
      <t xml:space="preserve">からの大量接続で</t>
    </r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が圧迫される問題の解決</t>
    </r>
  </si>
  <si>
    <t xml:space="preserve">Amazon Aurora</t>
  </si>
  <si>
    <r>
      <rPr>
        <sz val="10"/>
        <rFont val="Arial"/>
        <family val="0"/>
        <charset val="1"/>
      </rPr>
      <t xml:space="preserve">AWS</t>
    </r>
    <r>
      <rPr>
        <sz val="10"/>
        <rFont val="Noto Sans CJK SC"/>
        <family val="2"/>
      </rPr>
      <t xml:space="preserve">独自の高性能</t>
    </r>
    <r>
      <rPr>
        <sz val="10"/>
        <rFont val="Arial"/>
        <family val="0"/>
        <charset val="1"/>
      </rPr>
      <t xml:space="preserve">RDB(MySQL/PostgreSQL</t>
    </r>
    <r>
      <rPr>
        <sz val="10"/>
        <rFont val="Noto Sans CJK SC"/>
        <family val="2"/>
      </rPr>
      <t xml:space="preserve">互換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3AZ</t>
    </r>
    <r>
      <rPr>
        <sz val="10"/>
        <rFont val="Noto Sans CJK SC"/>
        <family val="2"/>
      </rPr>
      <t xml:space="preserve">に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コピーを保持、最大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個のレプリカ</t>
    </r>
  </si>
  <si>
    <r>
      <rPr>
        <sz val="10"/>
        <rFont val="Noto Sans CJK SC"/>
        <family val="2"/>
      </rPr>
      <t xml:space="preserve">高性能・高可用性</t>
    </r>
    <r>
      <rPr>
        <sz val="10"/>
        <rFont val="Arial"/>
        <family val="0"/>
        <charset val="1"/>
      </rPr>
      <t xml:space="preserve">RDB</t>
    </r>
    <r>
      <rPr>
        <sz val="10"/>
        <rFont val="Noto Sans CJK SC"/>
        <family val="2"/>
      </rPr>
      <t xml:space="preserve">が必要な場合</t>
    </r>
  </si>
  <si>
    <t xml:space="preserve">Aurora Serverless</t>
  </si>
  <si>
    <t xml:space="preserve">負荷に応じて容量を自動スケール</t>
  </si>
  <si>
    <t xml:space="preserve">断続的・予測不能なワークロード</t>
  </si>
  <si>
    <t xml:space="preserve">Aurora Global Database</t>
  </si>
  <si>
    <r>
      <rPr>
        <sz val="10"/>
        <rFont val="Noto Sans CJK SC"/>
        <family val="2"/>
      </rPr>
      <t xml:space="preserve">リージョン間を低遅延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通常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秒未満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でレプリケーション</t>
    </r>
  </si>
  <si>
    <r>
      <rPr>
        <sz val="10"/>
        <rFont val="Noto Sans CJK SC"/>
        <family val="2"/>
      </rPr>
      <t xml:space="preserve">グローバル展開・リージョン</t>
    </r>
    <r>
      <rPr>
        <sz val="10"/>
        <rFont val="Arial"/>
        <family val="0"/>
        <charset val="1"/>
      </rPr>
      <t xml:space="preserve">DR(RPO</t>
    </r>
    <r>
      <rPr>
        <sz val="10"/>
        <rFont val="Noto Sans CJK SC"/>
        <family val="2"/>
      </rPr>
      <t xml:space="preserve">秒単位</t>
    </r>
    <r>
      <rPr>
        <sz val="10"/>
        <rFont val="Arial"/>
        <family val="0"/>
        <charset val="1"/>
      </rPr>
      <t xml:space="preserve">)</t>
    </r>
  </si>
  <si>
    <t xml:space="preserve">Amazon DynamoDB</t>
  </si>
  <si>
    <r>
      <rPr>
        <sz val="10"/>
        <rFont val="Noto Sans CJK SC"/>
        <family val="2"/>
      </rPr>
      <t xml:space="preserve">フルマネージド</t>
    </r>
    <r>
      <rPr>
        <sz val="10"/>
        <rFont val="Arial"/>
        <family val="0"/>
        <charset val="1"/>
      </rPr>
      <t xml:space="preserve">NoSQL(</t>
    </r>
    <r>
      <rPr>
        <sz val="10"/>
        <rFont val="Noto Sans CJK SC"/>
        <family val="2"/>
      </rPr>
      <t xml:space="preserve">キーバリュー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桁ミリ秒のレイテンシ、自動スケール</t>
    </r>
  </si>
  <si>
    <t xml:space="preserve">スキーマレス・高スケール・サーバーレスとの組み合わせ</t>
  </si>
  <si>
    <r>
      <rPr>
        <b val="true"/>
        <sz val="10"/>
        <rFont val="Arial"/>
        <family val="0"/>
        <charset val="1"/>
      </rPr>
      <t xml:space="preserve">DynamoDB</t>
    </r>
    <r>
      <rPr>
        <b val="true"/>
        <sz val="10"/>
        <rFont val="Noto Sans CJK SC"/>
        <family val="2"/>
      </rPr>
      <t xml:space="preserve">キャパシティモード</t>
    </r>
  </si>
  <si>
    <r>
      <rPr>
        <sz val="10"/>
        <rFont val="Noto Sans CJK SC"/>
        <family val="2"/>
      </rPr>
      <t xml:space="preserve">オンデマンド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リクエスト課金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とプロビジョンド</t>
    </r>
    <r>
      <rPr>
        <sz val="10"/>
        <rFont val="Arial"/>
        <family val="0"/>
        <charset val="1"/>
      </rPr>
      <t xml:space="preserve">(+Auto Scaling)</t>
    </r>
  </si>
  <si>
    <t xml:space="preserve">予測不能ならオンデマンド、安定ならプロビジョンド</t>
  </si>
  <si>
    <t xml:space="preserve">DynamoDB Accelerator(DAX)</t>
  </si>
  <si>
    <r>
      <rPr>
        <sz val="10"/>
        <rFont val="Arial"/>
        <family val="0"/>
        <charset val="1"/>
      </rPr>
      <t xml:space="preserve">DynamoDB</t>
    </r>
    <r>
      <rPr>
        <sz val="10"/>
        <rFont val="Noto Sans CJK SC"/>
        <family val="2"/>
      </rPr>
      <t xml:space="preserve">専用のインメモリキャッシュ。マイクロ秒の読み取り</t>
    </r>
  </si>
  <si>
    <r>
      <rPr>
        <sz val="10"/>
        <rFont val="Arial"/>
        <family val="0"/>
        <charset val="1"/>
      </rPr>
      <t xml:space="preserve">DynamoDB</t>
    </r>
    <r>
      <rPr>
        <sz val="10"/>
        <rFont val="Noto Sans CJK SC"/>
        <family val="2"/>
      </rPr>
      <t xml:space="preserve">の読み取りを高速化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アプリ改修最小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</si>
  <si>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DynamoDB</t>
    </r>
    <r>
      <rPr>
        <b val="true"/>
        <sz val="10"/>
        <rFont val="Noto Sans CJK SC"/>
        <family val="2"/>
      </rPr>
      <t xml:space="preserve">グローバルテーブル</t>
    </r>
  </si>
  <si>
    <t xml:space="preserve">複数リージョンにマルチアクティブでレプリケーション</t>
  </si>
  <si>
    <t xml:space="preserve">グローバルアプリの低レイテンシ読み書き</t>
  </si>
  <si>
    <t xml:space="preserve">DynamoDB Streams</t>
  </si>
  <si>
    <r>
      <rPr>
        <sz val="10"/>
        <rFont val="Noto Sans CJK SC"/>
        <family val="2"/>
      </rPr>
      <t xml:space="preserve">テーブルの変更をストリームとして取得し</t>
    </r>
    <r>
      <rPr>
        <sz val="10"/>
        <rFont val="Arial"/>
        <family val="0"/>
        <charset val="1"/>
      </rPr>
      <t xml:space="preserve">Lambda</t>
    </r>
    <r>
      <rPr>
        <sz val="10"/>
        <rFont val="Noto Sans CJK SC"/>
        <family val="2"/>
      </rPr>
      <t xml:space="preserve">等で処理</t>
    </r>
  </si>
  <si>
    <r>
      <rPr>
        <sz val="10"/>
        <rFont val="Noto Sans CJK SC"/>
        <family val="2"/>
      </rPr>
      <t xml:space="preserve">変更データキャプチャ</t>
    </r>
    <r>
      <rPr>
        <sz val="10"/>
        <rFont val="Arial"/>
        <family val="0"/>
        <charset val="1"/>
      </rPr>
      <t xml:space="preserve">(CDC)</t>
    </r>
    <r>
      <rPr>
        <sz val="10"/>
        <rFont val="Noto Sans CJK SC"/>
        <family val="2"/>
      </rPr>
      <t xml:space="preserve">・イベント駆動</t>
    </r>
  </si>
  <si>
    <t xml:space="preserve">Amazon ElastiCache</t>
  </si>
  <si>
    <r>
      <rPr>
        <sz val="10"/>
        <rFont val="Noto Sans CJK SC"/>
        <family val="2"/>
      </rPr>
      <t xml:space="preserve">マネージドインメモリキャッシュ</t>
    </r>
    <r>
      <rPr>
        <sz val="10"/>
        <rFont val="Arial"/>
        <family val="0"/>
        <charset val="1"/>
      </rPr>
      <t xml:space="preserve">(Redis OSS / Valkey / Memcached)</t>
    </r>
  </si>
  <si>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負荷軽減・セッション管理。</t>
    </r>
    <r>
      <rPr>
        <sz val="10"/>
        <rFont val="Arial"/>
        <family val="0"/>
        <charset val="1"/>
      </rPr>
      <t xml:space="preserve">Redis</t>
    </r>
    <r>
      <rPr>
        <sz val="10"/>
        <rFont val="Noto Sans CJK SC"/>
        <family val="2"/>
      </rPr>
      <t xml:space="preserve">系はレプリケーション・永続化あり</t>
    </r>
  </si>
  <si>
    <t xml:space="preserve">Amazon Redshift</t>
  </si>
  <si>
    <r>
      <rPr>
        <sz val="10"/>
        <rFont val="Noto Sans CJK SC"/>
        <family val="2"/>
      </rPr>
      <t xml:space="preserve">ペタバイト級のデータウェアハウス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列指向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</si>
  <si>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大規模分析</t>
    </r>
    <r>
      <rPr>
        <sz val="10"/>
        <rFont val="Arial"/>
        <family val="0"/>
        <charset val="1"/>
      </rPr>
      <t xml:space="preserve">(OLAP)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BI</t>
    </r>
    <r>
      <rPr>
        <sz val="10"/>
        <rFont val="Noto Sans CJK SC"/>
        <family val="2"/>
      </rPr>
      <t xml:space="preserve">。トランザクション処理</t>
    </r>
    <r>
      <rPr>
        <sz val="10"/>
        <rFont val="Arial"/>
        <family val="0"/>
        <charset val="1"/>
      </rPr>
      <t xml:space="preserve">(OLTP)</t>
    </r>
    <r>
      <rPr>
        <sz val="10"/>
        <rFont val="Noto Sans CJK SC"/>
        <family val="2"/>
      </rPr>
      <t xml:space="preserve">には</t>
    </r>
    <r>
      <rPr>
        <sz val="10"/>
        <rFont val="Arial"/>
        <family val="0"/>
        <charset val="1"/>
      </rPr>
      <t xml:space="preserve">RDS</t>
    </r>
  </si>
  <si>
    <t xml:space="preserve">Amazon DocumentDB</t>
  </si>
  <si>
    <r>
      <rPr>
        <sz val="10"/>
        <rFont val="Arial"/>
        <family val="0"/>
        <charset val="1"/>
      </rPr>
      <t xml:space="preserve">MongoDB</t>
    </r>
    <r>
      <rPr>
        <sz val="10"/>
        <rFont val="Noto Sans CJK SC"/>
        <family val="2"/>
      </rPr>
      <t xml:space="preserve">互換のドキュメント</t>
    </r>
    <r>
      <rPr>
        <sz val="10"/>
        <rFont val="Arial"/>
        <family val="0"/>
        <charset val="1"/>
      </rPr>
      <t xml:space="preserve">DB</t>
    </r>
  </si>
  <si>
    <r>
      <rPr>
        <sz val="10"/>
        <rFont val="Arial"/>
        <family val="0"/>
        <charset val="1"/>
      </rPr>
      <t xml:space="preserve">MongoDB</t>
    </r>
    <r>
      <rPr>
        <sz val="10"/>
        <rFont val="Noto Sans CJK SC"/>
        <family val="2"/>
      </rPr>
      <t xml:space="preserve">からの移行</t>
    </r>
  </si>
  <si>
    <t xml:space="preserve">Amazon Neptune</t>
  </si>
  <si>
    <t xml:space="preserve">グラフデータベース</t>
  </si>
  <si>
    <t xml:space="preserve">ソーシャルネットワーク・レコメンド・不正検知</t>
  </si>
  <si>
    <t xml:space="preserve">Amazon Keyspaces</t>
  </si>
  <si>
    <r>
      <rPr>
        <sz val="10"/>
        <rFont val="Arial"/>
        <family val="0"/>
        <charset val="1"/>
      </rPr>
      <t xml:space="preserve">Apache Cassandra</t>
    </r>
    <r>
      <rPr>
        <sz val="10"/>
        <rFont val="Noto Sans CJK SC"/>
        <family val="2"/>
      </rPr>
      <t xml:space="preserve">互換のマネージド</t>
    </r>
    <r>
      <rPr>
        <sz val="10"/>
        <rFont val="Arial"/>
        <family val="0"/>
        <charset val="1"/>
      </rPr>
      <t xml:space="preserve">DB</t>
    </r>
  </si>
  <si>
    <r>
      <rPr>
        <sz val="10"/>
        <rFont val="Arial"/>
        <family val="0"/>
        <charset val="1"/>
      </rPr>
      <t xml:space="preserve">Cassandra</t>
    </r>
    <r>
      <rPr>
        <sz val="10"/>
        <rFont val="Noto Sans CJK SC"/>
        <family val="2"/>
      </rPr>
      <t xml:space="preserve">からの移行</t>
    </r>
  </si>
  <si>
    <t xml:space="preserve">Amazon Timestream</t>
  </si>
  <si>
    <t xml:space="preserve">時系列データベース</t>
  </si>
  <si>
    <r>
      <rPr>
        <sz val="10"/>
        <rFont val="Arial"/>
        <family val="0"/>
        <charset val="1"/>
      </rPr>
      <t xml:space="preserve">IoT</t>
    </r>
    <r>
      <rPr>
        <sz val="10"/>
        <rFont val="Noto Sans CJK SC"/>
        <family val="2"/>
      </rPr>
      <t xml:space="preserve">センサーデータ・メトリクスの時系列分析</t>
    </r>
  </si>
  <si>
    <t xml:space="preserve">Amazon QLDB</t>
  </si>
  <si>
    <r>
      <rPr>
        <sz val="10"/>
        <rFont val="Noto Sans CJK SC"/>
        <family val="2"/>
      </rPr>
      <t xml:space="preserve">改ざん不可能な台帳データベース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サービス終了予定のため最新の出題状況を確認</t>
    </r>
    <r>
      <rPr>
        <sz val="10"/>
        <rFont val="Arial"/>
        <family val="0"/>
        <charset val="1"/>
      </rPr>
      <t xml:space="preserve">)</t>
    </r>
  </si>
  <si>
    <t xml:space="preserve">変更履歴の検証可能性が必要な場合</t>
  </si>
  <si>
    <t xml:space="preserve">ネットワーク</t>
  </si>
  <si>
    <t xml:space="preserve">Amazon VPC</t>
  </si>
  <si>
    <r>
      <rPr>
        <sz val="10"/>
        <rFont val="Arial"/>
        <family val="0"/>
        <charset val="1"/>
      </rPr>
      <t xml:space="preserve">AWS</t>
    </r>
    <r>
      <rPr>
        <sz val="10"/>
        <rFont val="Noto Sans CJK SC"/>
        <family val="2"/>
      </rPr>
      <t xml:space="preserve">上の論理的に分離された仮想ネットワーク。リージョン単位</t>
    </r>
  </si>
  <si>
    <t xml:space="preserve">ネットワーク設計の基本</t>
  </si>
  <si>
    <r>
      <rPr>
        <b val="true"/>
        <sz val="10"/>
        <rFont val="Noto Sans CJK SC"/>
        <family val="2"/>
      </rPr>
      <t xml:space="preserve">サブネット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パブリック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Noto Sans CJK SC"/>
        <family val="2"/>
      </rPr>
      <t xml:space="preserve">プライベート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</si>
  <si>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VPC</t>
    </r>
    <r>
      <rPr>
        <sz val="10"/>
        <rFont val="Noto Sans CJK SC"/>
        <family val="2"/>
      </rPr>
      <t xml:space="preserve">内の</t>
    </r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範囲。</t>
    </r>
    <r>
      <rPr>
        <sz val="10"/>
        <rFont val="Arial"/>
        <family val="0"/>
        <charset val="1"/>
      </rPr>
      <t xml:space="preserve">AZ</t>
    </r>
    <r>
      <rPr>
        <sz val="10"/>
        <rFont val="Noto Sans CJK SC"/>
        <family val="2"/>
      </rPr>
      <t xml:space="preserve">単位。インターネットゲートウェイへのルートがあればパブリック</t>
    </r>
  </si>
  <si>
    <r>
      <rPr>
        <sz val="10"/>
        <rFont val="Arial"/>
        <family val="0"/>
        <charset val="1"/>
      </rPr>
      <t xml:space="preserve">Web</t>
    </r>
    <r>
      <rPr>
        <sz val="10"/>
        <rFont val="Noto Sans CJK SC"/>
        <family val="2"/>
      </rPr>
      <t xml:space="preserve">はパブリック、</t>
    </r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はプライベートの多層構成</t>
    </r>
  </si>
  <si>
    <r>
      <rPr>
        <b val="true"/>
        <sz val="10"/>
        <rFont val="Noto Sans CJK SC"/>
        <family val="2"/>
      </rPr>
      <t xml:space="preserve">インターネットゲートウェイ</t>
    </r>
    <r>
      <rPr>
        <b val="true"/>
        <sz val="10"/>
        <rFont val="Arial"/>
        <family val="0"/>
        <charset val="1"/>
      </rPr>
      <t xml:space="preserve">(IGW)</t>
    </r>
  </si>
  <si>
    <r>
      <rPr>
        <sz val="10"/>
        <rFont val="Arial"/>
        <family val="0"/>
        <charset val="1"/>
      </rPr>
      <t xml:space="preserve">VPC</t>
    </r>
    <r>
      <rPr>
        <sz val="10"/>
        <rFont val="Noto Sans CJK SC"/>
        <family val="2"/>
      </rPr>
      <t xml:space="preserve">とインターネットの双方向通信を可能にする</t>
    </r>
  </si>
  <si>
    <t xml:space="preserve">パブリックサブネットに必須</t>
  </si>
  <si>
    <r>
      <rPr>
        <b val="true"/>
        <sz val="10"/>
        <rFont val="Arial"/>
        <family val="0"/>
        <charset val="1"/>
      </rPr>
      <t xml:space="preserve">NAT</t>
    </r>
    <r>
      <rPr>
        <b val="true"/>
        <sz val="10"/>
        <rFont val="Noto Sans CJK SC"/>
        <family val="2"/>
      </rPr>
      <t xml:space="preserve">ゲートウェイ</t>
    </r>
  </si>
  <si>
    <r>
      <rPr>
        <sz val="10"/>
        <rFont val="Noto Sans CJK SC"/>
        <family val="2"/>
      </rPr>
      <t xml:space="preserve">プライベートサブネットからインターネットへの送信のみを可能にする。</t>
    </r>
    <r>
      <rPr>
        <sz val="10"/>
        <rFont val="Arial"/>
        <family val="0"/>
        <charset val="1"/>
      </rPr>
      <t xml:space="preserve">AZ</t>
    </r>
    <r>
      <rPr>
        <sz val="10"/>
        <rFont val="Noto Sans CJK SC"/>
        <family val="2"/>
      </rPr>
      <t xml:space="preserve">単位のマネージドサービス</t>
    </r>
  </si>
  <si>
    <r>
      <rPr>
        <sz val="10"/>
        <rFont val="Noto Sans CJK SC"/>
        <family val="2"/>
      </rPr>
      <t xml:space="preserve">可用性のため各</t>
    </r>
    <r>
      <rPr>
        <sz val="10"/>
        <rFont val="Arial"/>
        <family val="0"/>
        <charset val="1"/>
      </rPr>
      <t xml:space="preserve">AZ</t>
    </r>
    <r>
      <rPr>
        <sz val="10"/>
        <rFont val="Noto Sans CJK SC"/>
        <family val="2"/>
      </rPr>
      <t xml:space="preserve">に配置。</t>
    </r>
    <r>
      <rPr>
        <sz val="10"/>
        <rFont val="Arial"/>
        <family val="0"/>
        <charset val="1"/>
      </rPr>
      <t xml:space="preserve">IPv6</t>
    </r>
    <r>
      <rPr>
        <sz val="10"/>
        <rFont val="Noto Sans CJK SC"/>
        <family val="2"/>
      </rPr>
      <t xml:space="preserve">の送信専用は</t>
    </r>
    <r>
      <rPr>
        <sz val="10"/>
        <rFont val="Arial"/>
        <family val="0"/>
        <charset val="1"/>
      </rPr>
      <t xml:space="preserve">Egress-only IGW</t>
    </r>
  </si>
  <si>
    <t xml:space="preserve">セキュリティグループ</t>
  </si>
  <si>
    <r>
      <rPr>
        <sz val="10"/>
        <rFont val="Noto Sans CJK SC"/>
        <family val="2"/>
      </rPr>
      <t xml:space="preserve">インスタンス</t>
    </r>
    <r>
      <rPr>
        <sz val="10"/>
        <rFont val="Arial"/>
        <family val="0"/>
        <charset val="1"/>
      </rPr>
      <t xml:space="preserve">(ENI)</t>
    </r>
    <r>
      <rPr>
        <sz val="10"/>
        <rFont val="Noto Sans CJK SC"/>
        <family val="2"/>
      </rPr>
      <t xml:space="preserve">単位のファイアウォール。ステートフル、許可ルールのみ</t>
    </r>
  </si>
  <si>
    <r>
      <rPr>
        <sz val="10"/>
        <rFont val="Arial"/>
        <family val="0"/>
        <charset val="1"/>
      </rPr>
      <t xml:space="preserve">SG</t>
    </r>
    <r>
      <rPr>
        <sz val="10"/>
        <rFont val="Noto Sans CJK SC"/>
        <family val="2"/>
      </rPr>
      <t xml:space="preserve">をソースに指定して層間通信を制御</t>
    </r>
  </si>
  <si>
    <r>
      <rPr>
        <b val="true"/>
        <sz val="10"/>
        <rFont val="Noto Sans CJK SC"/>
        <family val="2"/>
      </rPr>
      <t xml:space="preserve">ネットワーク</t>
    </r>
    <r>
      <rPr>
        <b val="true"/>
        <sz val="10"/>
        <rFont val="Arial"/>
        <family val="0"/>
        <charset val="1"/>
      </rPr>
      <t xml:space="preserve">ACL</t>
    </r>
  </si>
  <si>
    <r>
      <rPr>
        <sz val="10"/>
        <rFont val="Noto Sans CJK SC"/>
        <family val="2"/>
      </rPr>
      <t xml:space="preserve">サブネット単位のファイアウォール。ステートレス、許可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拒否ルール、番号順に評価</t>
    </r>
  </si>
  <si>
    <r>
      <rPr>
        <sz val="10"/>
        <rFont val="Noto Sans CJK SC"/>
        <family val="2"/>
      </rPr>
      <t xml:space="preserve">特定</t>
    </r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のブロック→</t>
    </r>
    <r>
      <rPr>
        <sz val="10"/>
        <rFont val="Arial"/>
        <family val="0"/>
        <charset val="1"/>
      </rPr>
      <t xml:space="preserve">NACL</t>
    </r>
    <r>
      <rPr>
        <sz val="10"/>
        <rFont val="Noto Sans CJK SC"/>
        <family val="2"/>
      </rPr>
      <t xml:space="preserve">の拒否ルール。戻り通信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エフェメラルポート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の許可が必要</t>
    </r>
  </si>
  <si>
    <r>
      <rPr>
        <b val="true"/>
        <sz val="10"/>
        <rFont val="Arial"/>
        <family val="0"/>
        <charset val="1"/>
      </rPr>
      <t xml:space="preserve">VPC</t>
    </r>
    <r>
      <rPr>
        <b val="true"/>
        <sz val="10"/>
        <rFont val="Noto Sans CJK SC"/>
        <family val="2"/>
      </rPr>
      <t xml:space="preserve">ピアリング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</si>
  <si>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つの</t>
    </r>
    <r>
      <rPr>
        <sz val="10"/>
        <rFont val="Arial"/>
        <family val="0"/>
        <charset val="1"/>
      </rPr>
      <t xml:space="preserve">VPC</t>
    </r>
    <r>
      <rPr>
        <sz val="10"/>
        <rFont val="Noto Sans CJK SC"/>
        <family val="2"/>
      </rPr>
      <t xml:space="preserve">をプライベート接続。推移的ルーティング不可、</t>
    </r>
    <r>
      <rPr>
        <sz val="10"/>
        <rFont val="Arial"/>
        <family val="0"/>
        <charset val="1"/>
      </rPr>
      <t xml:space="preserve">CIDR</t>
    </r>
    <r>
      <rPr>
        <sz val="10"/>
        <rFont val="Noto Sans CJK SC"/>
        <family val="2"/>
      </rPr>
      <t xml:space="preserve">重複不可</t>
    </r>
  </si>
  <si>
    <r>
      <rPr>
        <sz val="10"/>
        <rFont val="Noto Sans CJK SC"/>
        <family val="2"/>
      </rPr>
      <t xml:space="preserve">少数</t>
    </r>
    <r>
      <rPr>
        <sz val="10"/>
        <rFont val="Arial"/>
        <family val="0"/>
        <charset val="1"/>
      </rPr>
      <t xml:space="preserve">VPC</t>
    </r>
    <r>
      <rPr>
        <sz val="10"/>
        <rFont val="Noto Sans CJK SC"/>
        <family val="2"/>
      </rPr>
      <t xml:space="preserve">間の接続。多数なら</t>
    </r>
    <r>
      <rPr>
        <sz val="10"/>
        <rFont val="Arial"/>
        <family val="0"/>
        <charset val="1"/>
      </rPr>
      <t xml:space="preserve">Transit Gateway</t>
    </r>
  </si>
  <si>
    <t xml:space="preserve">AWS Transit Gateway</t>
  </si>
  <si>
    <r>
      <rPr>
        <sz val="10"/>
        <rFont val="Noto Sans CJK SC"/>
        <family val="2"/>
      </rPr>
      <t xml:space="preserve">多数の</t>
    </r>
    <r>
      <rPr>
        <sz val="10"/>
        <rFont val="Arial"/>
        <family val="0"/>
        <charset val="1"/>
      </rPr>
      <t xml:space="preserve">VPC</t>
    </r>
    <r>
      <rPr>
        <sz val="10"/>
        <rFont val="Noto Sans CJK SC"/>
        <family val="2"/>
      </rPr>
      <t xml:space="preserve">とオンプレミスをハブ</t>
    </r>
    <r>
      <rPr>
        <sz val="10"/>
        <rFont val="Arial"/>
        <family val="0"/>
        <charset val="1"/>
      </rPr>
      <t xml:space="preserve">&amp;</t>
    </r>
    <r>
      <rPr>
        <sz val="10"/>
        <rFont val="Noto Sans CJK SC"/>
        <family val="2"/>
      </rPr>
      <t xml:space="preserve">スポークで接続</t>
    </r>
  </si>
  <si>
    <r>
      <rPr>
        <sz val="10"/>
        <rFont val="Arial"/>
        <family val="0"/>
        <charset val="1"/>
      </rPr>
      <t xml:space="preserve">VPC</t>
    </r>
    <r>
      <rPr>
        <sz val="10"/>
        <rFont val="Noto Sans CJK SC"/>
        <family val="2"/>
      </rPr>
      <t xml:space="preserve">数が多い・推移的接続が必要な場合</t>
    </r>
  </si>
  <si>
    <r>
      <rPr>
        <b val="true"/>
        <sz val="10"/>
        <rFont val="Arial"/>
        <family val="0"/>
        <charset val="1"/>
      </rPr>
      <t xml:space="preserve">VPC</t>
    </r>
    <r>
      <rPr>
        <b val="true"/>
        <sz val="10"/>
        <rFont val="Noto Sans CJK SC"/>
        <family val="2"/>
      </rPr>
      <t xml:space="preserve">エンドポイント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ゲートウェイ型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</si>
  <si>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DynamoDB</t>
    </r>
    <r>
      <rPr>
        <sz val="10"/>
        <rFont val="Noto Sans CJK SC"/>
        <family val="2"/>
      </rPr>
      <t xml:space="preserve">へインターネットを経由せずプライベート接続。無料</t>
    </r>
  </si>
  <si>
    <r>
      <rPr>
        <sz val="10"/>
        <rFont val="Noto Sans CJK SC"/>
        <family val="2"/>
      </rPr>
      <t xml:space="preserve">プライベートサブネットから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へのアクセス</t>
    </r>
    <r>
      <rPr>
        <sz val="10"/>
        <rFont val="Arial"/>
        <family val="0"/>
        <charset val="1"/>
      </rPr>
      <t xml:space="preserve">(NAT</t>
    </r>
    <r>
      <rPr>
        <sz val="10"/>
        <rFont val="Noto Sans CJK SC"/>
        <family val="2"/>
      </rPr>
      <t xml:space="preserve">費用削減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</si>
  <si>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VPC</t>
    </r>
    <r>
      <rPr>
        <b val="true"/>
        <sz val="10"/>
        <rFont val="Noto Sans CJK SC"/>
        <family val="2"/>
      </rPr>
      <t xml:space="preserve">エンドポイント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インターフェイス型</t>
    </r>
    <r>
      <rPr>
        <b val="true"/>
        <sz val="10"/>
        <rFont val="Arial"/>
        <family val="0"/>
        <charset val="1"/>
      </rPr>
      <t xml:space="preserve">)/ PrivateLink</t>
    </r>
  </si>
  <si>
    <r>
      <rPr>
        <sz val="10"/>
        <rFont val="Arial"/>
        <family val="0"/>
        <charset val="1"/>
      </rPr>
      <t xml:space="preserve">ENI</t>
    </r>
    <r>
      <rPr>
        <sz val="10"/>
        <rFont val="Noto Sans CJK SC"/>
        <family val="2"/>
      </rPr>
      <t xml:space="preserve">経由で多くの</t>
    </r>
    <r>
      <rPr>
        <sz val="10"/>
        <rFont val="Arial"/>
        <family val="0"/>
        <charset val="1"/>
      </rPr>
      <t xml:space="preserve">AWS</t>
    </r>
    <r>
      <rPr>
        <sz val="10"/>
        <rFont val="Noto Sans CJK SC"/>
        <family val="2"/>
      </rPr>
      <t xml:space="preserve">サービスや</t>
    </r>
    <r>
      <rPr>
        <sz val="10"/>
        <rFont val="Arial"/>
        <family val="0"/>
        <charset val="1"/>
      </rPr>
      <t xml:space="preserve">SaaS</t>
    </r>
    <r>
      <rPr>
        <sz val="10"/>
        <rFont val="Noto Sans CJK SC"/>
        <family val="2"/>
      </rPr>
      <t xml:space="preserve">へプライベート接続</t>
    </r>
  </si>
  <si>
    <r>
      <rPr>
        <sz val="10"/>
        <rFont val="Noto Sans CJK SC"/>
        <family val="2"/>
      </rPr>
      <t xml:space="preserve">他</t>
    </r>
    <r>
      <rPr>
        <sz val="10"/>
        <rFont val="Arial"/>
        <family val="0"/>
        <charset val="1"/>
      </rPr>
      <t xml:space="preserve">VPC</t>
    </r>
    <r>
      <rPr>
        <sz val="10"/>
        <rFont val="Noto Sans CJK SC"/>
        <family val="2"/>
      </rPr>
      <t xml:space="preserve">のサービスを公開したい・インターネットを経由させたくない</t>
    </r>
  </si>
  <si>
    <t xml:space="preserve">AWS Site-to-Site VPN</t>
  </si>
  <si>
    <r>
      <rPr>
        <sz val="10"/>
        <rFont val="Noto Sans CJK SC"/>
        <family val="2"/>
      </rPr>
      <t xml:space="preserve">インターネット経由の</t>
    </r>
    <r>
      <rPr>
        <sz val="10"/>
        <rFont val="Arial"/>
        <family val="0"/>
        <charset val="1"/>
      </rPr>
      <t xml:space="preserve">IPsec</t>
    </r>
    <r>
      <rPr>
        <sz val="10"/>
        <rFont val="Noto Sans CJK SC"/>
        <family val="2"/>
      </rPr>
      <t xml:space="preserve">暗号化トンネルでオンプレと接続</t>
    </r>
  </si>
  <si>
    <r>
      <rPr>
        <sz val="10"/>
        <rFont val="Noto Sans CJK SC"/>
        <family val="2"/>
      </rPr>
      <t xml:space="preserve">素早く安価に接続、</t>
    </r>
    <r>
      <rPr>
        <sz val="10"/>
        <rFont val="Arial"/>
        <family val="0"/>
        <charset val="1"/>
      </rPr>
      <t xml:space="preserve">Direct Connect</t>
    </r>
    <r>
      <rPr>
        <sz val="10"/>
        <rFont val="Noto Sans CJK SC"/>
        <family val="2"/>
      </rPr>
      <t xml:space="preserve">のバックアップ</t>
    </r>
  </si>
  <si>
    <t xml:space="preserve">AWS Direct Connect</t>
  </si>
  <si>
    <r>
      <rPr>
        <sz val="10"/>
        <rFont val="Noto Sans CJK SC"/>
        <family val="2"/>
      </rPr>
      <t xml:space="preserve">オンプレと</t>
    </r>
    <r>
      <rPr>
        <sz val="10"/>
        <rFont val="Arial"/>
        <family val="0"/>
        <charset val="1"/>
      </rPr>
      <t xml:space="preserve">AWS</t>
    </r>
    <r>
      <rPr>
        <sz val="10"/>
        <rFont val="Noto Sans CJK SC"/>
        <family val="2"/>
      </rPr>
      <t xml:space="preserve">を専用線で接続。安定した帯域・低レイテンシ</t>
    </r>
  </si>
  <si>
    <r>
      <rPr>
        <sz val="10"/>
        <rFont val="Noto Sans CJK SC"/>
        <family val="2"/>
      </rPr>
      <t xml:space="preserve">大容量・安定通信。開通まで数週間かかる。暗号化が必要なら</t>
    </r>
    <r>
      <rPr>
        <sz val="10"/>
        <rFont val="Arial"/>
        <family val="0"/>
        <charset val="1"/>
      </rPr>
      <t xml:space="preserve">VPN</t>
    </r>
    <r>
      <rPr>
        <sz val="10"/>
        <rFont val="Noto Sans CJK SC"/>
        <family val="2"/>
      </rPr>
      <t xml:space="preserve">を併用</t>
    </r>
  </si>
  <si>
    <r>
      <rPr>
        <b val="true"/>
        <sz val="10"/>
        <rFont val="Arial"/>
        <family val="0"/>
        <charset val="1"/>
      </rPr>
      <t xml:space="preserve">VPC</t>
    </r>
    <r>
      <rPr>
        <b val="true"/>
        <sz val="10"/>
        <rFont val="Noto Sans CJK SC"/>
        <family val="2"/>
      </rPr>
      <t xml:space="preserve">フローログ</t>
    </r>
  </si>
  <si>
    <r>
      <rPr>
        <sz val="10"/>
        <rFont val="Arial"/>
        <family val="0"/>
        <charset val="1"/>
      </rPr>
      <t xml:space="preserve">VPC</t>
    </r>
    <r>
      <rPr>
        <sz val="10"/>
        <rFont val="Noto Sans CJK SC"/>
        <family val="2"/>
      </rPr>
      <t xml:space="preserve">・サブネット・</t>
    </r>
    <r>
      <rPr>
        <sz val="10"/>
        <rFont val="Arial"/>
        <family val="0"/>
        <charset val="1"/>
      </rPr>
      <t xml:space="preserve">ENI</t>
    </r>
    <r>
      <rPr>
        <sz val="10"/>
        <rFont val="Noto Sans CJK SC"/>
        <family val="2"/>
      </rPr>
      <t xml:space="preserve">の</t>
    </r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トラフィック情報を記録</t>
    </r>
  </si>
  <si>
    <t xml:space="preserve">通信のトラブルシューティング・セキュリティ分析</t>
  </si>
  <si>
    <t xml:space="preserve">Elastic IP</t>
  </si>
  <si>
    <r>
      <rPr>
        <sz val="10"/>
        <rFont val="Noto Sans CJK SC"/>
        <family val="2"/>
      </rPr>
      <t xml:space="preserve">固定のパブリック</t>
    </r>
    <r>
      <rPr>
        <sz val="10"/>
        <rFont val="Arial"/>
        <family val="0"/>
        <charset val="1"/>
      </rPr>
      <t xml:space="preserve">IPv4</t>
    </r>
    <r>
      <rPr>
        <sz val="10"/>
        <rFont val="Noto Sans CJK SC"/>
        <family val="2"/>
      </rPr>
      <t xml:space="preserve">アドレス</t>
    </r>
  </si>
  <si>
    <r>
      <rPr>
        <sz val="10"/>
        <rFont val="Noto Sans CJK SC"/>
        <family val="2"/>
      </rPr>
      <t xml:space="preserve">固定</t>
    </r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が必要な場合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未使用時も課金</t>
    </r>
    <r>
      <rPr>
        <sz val="10"/>
        <rFont val="Arial"/>
        <family val="0"/>
        <charset val="1"/>
      </rPr>
      <t xml:space="preserve">)</t>
    </r>
  </si>
  <si>
    <t xml:space="preserve">Elastic Load Balancing(ELB)</t>
  </si>
  <si>
    <r>
      <rPr>
        <sz val="10"/>
        <rFont val="Noto Sans CJK SC"/>
        <family val="2"/>
      </rPr>
      <t xml:space="preserve">トラフィックを複数ターゲットへ分散するマネージド</t>
    </r>
    <r>
      <rPr>
        <sz val="10"/>
        <rFont val="Arial"/>
        <family val="0"/>
        <charset val="1"/>
      </rPr>
      <t xml:space="preserve">LB</t>
    </r>
  </si>
  <si>
    <r>
      <rPr>
        <sz val="10"/>
        <rFont val="Arial"/>
        <family val="0"/>
        <charset val="1"/>
      </rPr>
      <t xml:space="preserve">ALB/NLB/GWLB</t>
    </r>
    <r>
      <rPr>
        <sz val="10"/>
        <rFont val="Noto Sans CJK SC"/>
        <family val="2"/>
      </rPr>
      <t xml:space="preserve">の使い分け</t>
    </r>
  </si>
  <si>
    <t xml:space="preserve">Application Load Balancer(ALB)</t>
  </si>
  <si>
    <r>
      <rPr>
        <sz val="10"/>
        <rFont val="Arial"/>
        <family val="0"/>
        <charset val="1"/>
      </rPr>
      <t xml:space="preserve">L7</t>
    </r>
    <r>
      <rPr>
        <sz val="10"/>
        <rFont val="Noto Sans CJK SC"/>
        <family val="2"/>
      </rPr>
      <t xml:space="preserve">。パス・ホスト・ヘッダーによるルーティング、</t>
    </r>
    <r>
      <rPr>
        <sz val="10"/>
        <rFont val="Arial"/>
        <family val="0"/>
        <charset val="1"/>
      </rPr>
      <t xml:space="preserve">HTTP/HTTPS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Lambda</t>
    </r>
    <r>
      <rPr>
        <sz val="10"/>
        <rFont val="Noto Sans CJK SC"/>
        <family val="2"/>
      </rPr>
      <t xml:space="preserve">もターゲット可</t>
    </r>
  </si>
  <si>
    <r>
      <rPr>
        <sz val="10"/>
        <rFont val="Noto Sans CJK SC"/>
        <family val="2"/>
      </rPr>
      <t xml:space="preserve">マイクロサービス・パスベースルーティング・</t>
    </r>
    <r>
      <rPr>
        <sz val="10"/>
        <rFont val="Arial"/>
        <family val="0"/>
        <charset val="1"/>
      </rPr>
      <t xml:space="preserve">WAF</t>
    </r>
    <r>
      <rPr>
        <sz val="10"/>
        <rFont val="Noto Sans CJK SC"/>
        <family val="2"/>
      </rPr>
      <t xml:space="preserve">連携</t>
    </r>
  </si>
  <si>
    <t xml:space="preserve">Network Load Balancer(NLB)</t>
  </si>
  <si>
    <r>
      <rPr>
        <sz val="10"/>
        <rFont val="Arial"/>
        <family val="0"/>
        <charset val="1"/>
      </rPr>
      <t xml:space="preserve">L4(TCP/UDP)</t>
    </r>
    <r>
      <rPr>
        <sz val="10"/>
        <rFont val="Noto Sans CJK SC"/>
        <family val="2"/>
      </rPr>
      <t xml:space="preserve">。超低レイテンシ・高スループット、固定</t>
    </r>
    <r>
      <rPr>
        <sz val="10"/>
        <rFont val="Arial"/>
        <family val="0"/>
        <charset val="1"/>
      </rPr>
      <t xml:space="preserve">IP(Elastic IP)</t>
    </r>
    <r>
      <rPr>
        <sz val="10"/>
        <rFont val="Noto Sans CJK SC"/>
        <family val="2"/>
      </rPr>
      <t xml:space="preserve">を持てる</t>
    </r>
  </si>
  <si>
    <r>
      <rPr>
        <sz val="10"/>
        <rFont val="Noto Sans CJK SC"/>
        <family val="2"/>
      </rPr>
      <t xml:space="preserve">固定</t>
    </r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が必要、</t>
    </r>
    <r>
      <rPr>
        <sz val="10"/>
        <rFont val="Arial"/>
        <family val="0"/>
        <charset val="1"/>
      </rPr>
      <t xml:space="preserve">UDP</t>
    </r>
    <r>
      <rPr>
        <sz val="10"/>
        <rFont val="Noto Sans CJK SC"/>
        <family val="2"/>
      </rPr>
      <t xml:space="preserve">、極めて高い性能要件</t>
    </r>
  </si>
  <si>
    <t xml:space="preserve">Gateway Load Balancer(GWLB)</t>
  </si>
  <si>
    <r>
      <rPr>
        <sz val="10"/>
        <rFont val="Noto Sans CJK SC"/>
        <family val="2"/>
      </rPr>
      <t xml:space="preserve">サードパーティ製の仮想アプライアンス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ファイアウォール等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へトラフィックを分散</t>
    </r>
  </si>
  <si>
    <t xml:space="preserve">セキュリティアプライアンスの透過的な挿入</t>
  </si>
  <si>
    <t xml:space="preserve">Amazon Route 53</t>
  </si>
  <si>
    <r>
      <rPr>
        <sz val="10"/>
        <rFont val="Noto Sans CJK SC"/>
        <family val="2"/>
      </rPr>
      <t xml:space="preserve">マネージド</t>
    </r>
    <r>
      <rPr>
        <sz val="10"/>
        <rFont val="Arial"/>
        <family val="0"/>
        <charset val="1"/>
      </rPr>
      <t xml:space="preserve">DNS</t>
    </r>
    <r>
      <rPr>
        <sz val="10"/>
        <rFont val="Noto Sans CJK SC"/>
        <family val="2"/>
      </rPr>
      <t xml:space="preserve">。ヘルスチェックとルーティングポリシーを持つ</t>
    </r>
  </si>
  <si>
    <r>
      <rPr>
        <sz val="10"/>
        <rFont val="Arial"/>
        <family val="0"/>
        <charset val="1"/>
      </rPr>
      <t xml:space="preserve">DNS</t>
    </r>
    <r>
      <rPr>
        <sz val="10"/>
        <rFont val="Noto Sans CJK SC"/>
        <family val="2"/>
      </rPr>
      <t xml:space="preserve">フェイルオーバー・</t>
    </r>
    <r>
      <rPr>
        <sz val="10"/>
        <rFont val="Arial"/>
        <family val="0"/>
        <charset val="1"/>
      </rPr>
      <t xml:space="preserve">Alias </t>
    </r>
    <r>
      <rPr>
        <sz val="10"/>
        <rFont val="Noto Sans CJK SC"/>
        <family val="2"/>
      </rPr>
      <t xml:space="preserve">レコード</t>
    </r>
    <r>
      <rPr>
        <sz val="10"/>
        <rFont val="Arial"/>
        <family val="0"/>
        <charset val="1"/>
      </rPr>
      <t xml:space="preserve">(Zone Apex</t>
    </r>
    <r>
      <rPr>
        <sz val="10"/>
        <rFont val="Noto Sans CJK SC"/>
        <family val="2"/>
      </rPr>
      <t xml:space="preserve">に可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</si>
  <si>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Route 53</t>
    </r>
    <r>
      <rPr>
        <b val="true"/>
        <sz val="10"/>
        <rFont val="Noto Sans CJK SC"/>
        <family val="2"/>
      </rPr>
      <t xml:space="preserve">ルーティングポリシー</t>
    </r>
  </si>
  <si>
    <r>
      <rPr>
        <sz val="10"/>
        <rFont val="Noto Sans CJK SC"/>
        <family val="2"/>
      </rPr>
      <t xml:space="preserve">シンプル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加重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レイテンシー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フェイルオーバー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位置情報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地理的近接性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複数値回答</t>
    </r>
  </si>
  <si>
    <r>
      <rPr>
        <sz val="10"/>
        <rFont val="Noto Sans CJK SC"/>
        <family val="2"/>
      </rPr>
      <t xml:space="preserve">アクティブ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パッシブ</t>
    </r>
    <r>
      <rPr>
        <sz val="10"/>
        <rFont val="Arial"/>
        <family val="0"/>
        <charset val="1"/>
      </rPr>
      <t xml:space="preserve">DR→</t>
    </r>
    <r>
      <rPr>
        <sz val="10"/>
        <rFont val="Noto Sans CJK SC"/>
        <family val="2"/>
      </rPr>
      <t xml:space="preserve">フェイルオーバー、</t>
    </r>
    <r>
      <rPr>
        <sz val="10"/>
        <rFont val="Arial"/>
        <family val="0"/>
        <charset val="1"/>
      </rPr>
      <t xml:space="preserve">A/B</t>
    </r>
    <r>
      <rPr>
        <sz val="10"/>
        <rFont val="Noto Sans CJK SC"/>
        <family val="2"/>
      </rPr>
      <t xml:space="preserve">テスト→加重、国別出し分け→位置情報</t>
    </r>
  </si>
  <si>
    <t xml:space="preserve">Amazon CloudFront</t>
  </si>
  <si>
    <r>
      <rPr>
        <sz val="10"/>
        <rFont val="Arial"/>
        <family val="0"/>
        <charset val="1"/>
      </rPr>
      <t xml:space="preserve">CDN</t>
    </r>
    <r>
      <rPr>
        <sz val="10"/>
        <rFont val="Noto Sans CJK SC"/>
        <family val="2"/>
      </rPr>
      <t xml:space="preserve">。世界中のエッジロケーションでコンテンツをキャッシュ配信</t>
    </r>
  </si>
  <si>
    <r>
      <rPr>
        <sz val="10"/>
        <rFont val="Noto Sans CJK SC"/>
        <family val="2"/>
      </rPr>
      <t xml:space="preserve">静的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動的コンテンツの高速化。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オリジンには</t>
    </r>
    <r>
      <rPr>
        <sz val="10"/>
        <rFont val="Arial"/>
        <family val="0"/>
        <charset val="1"/>
      </rPr>
      <t xml:space="preserve">OAC(</t>
    </r>
    <r>
      <rPr>
        <sz val="10"/>
        <rFont val="Noto Sans CJK SC"/>
        <family val="2"/>
      </rPr>
      <t xml:space="preserve">旧</t>
    </r>
    <r>
      <rPr>
        <sz val="10"/>
        <rFont val="Arial"/>
        <family val="0"/>
        <charset val="1"/>
      </rPr>
      <t xml:space="preserve">OAI)</t>
    </r>
    <r>
      <rPr>
        <sz val="10"/>
        <rFont val="Noto Sans CJK SC"/>
        <family val="2"/>
      </rPr>
      <t xml:space="preserve">で直接アクセスを禁止</t>
    </r>
  </si>
  <si>
    <t xml:space="preserve">AWS Global Accelerator</t>
  </si>
  <si>
    <r>
      <rPr>
        <sz val="10"/>
        <rFont val="Arial"/>
        <family val="0"/>
        <charset val="1"/>
      </rPr>
      <t xml:space="preserve">AWS</t>
    </r>
    <r>
      <rPr>
        <sz val="10"/>
        <rFont val="Noto Sans CJK SC"/>
        <family val="2"/>
      </rPr>
      <t xml:space="preserve">のグローバルネットワーク経由でトラフィックを最適化。固定エニーキャスト</t>
    </r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を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つ提供</t>
    </r>
  </si>
  <si>
    <r>
      <rPr>
        <sz val="10"/>
        <rFont val="Arial"/>
        <family val="0"/>
        <charset val="1"/>
      </rPr>
      <t xml:space="preserve">TCP/UDP</t>
    </r>
    <r>
      <rPr>
        <sz val="10"/>
        <rFont val="Noto Sans CJK SC"/>
        <family val="2"/>
      </rPr>
      <t xml:space="preserve">アプリの高速化・固定</t>
    </r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・高速なリージョンフェイルオーバー。キャッシュはしない</t>
    </r>
  </si>
  <si>
    <t xml:space="preserve">セキュリティ</t>
  </si>
  <si>
    <t xml:space="preserve">AWS IAM</t>
  </si>
  <si>
    <t xml:space="preserve">ユーザー・グループ・ロール・ポリシーでアクセス制御</t>
  </si>
  <si>
    <r>
      <rPr>
        <sz val="10"/>
        <rFont val="Noto Sans CJK SC"/>
        <family val="2"/>
      </rPr>
      <t xml:space="preserve">最小権限の原則。明示的</t>
    </r>
    <r>
      <rPr>
        <sz val="10"/>
        <rFont val="Arial"/>
        <family val="0"/>
        <charset val="1"/>
      </rPr>
      <t xml:space="preserve">Deny</t>
    </r>
    <r>
      <rPr>
        <sz val="10"/>
        <rFont val="Noto Sans CJK SC"/>
        <family val="2"/>
      </rPr>
      <t xml:space="preserve">が常に優先</t>
    </r>
  </si>
  <si>
    <r>
      <rPr>
        <b val="true"/>
        <sz val="10"/>
        <rFont val="Arial"/>
        <family val="0"/>
        <charset val="1"/>
      </rPr>
      <t xml:space="preserve">IAM</t>
    </r>
    <r>
      <rPr>
        <b val="true"/>
        <sz val="10"/>
        <rFont val="Noto Sans CJK SC"/>
        <family val="2"/>
      </rPr>
      <t xml:space="preserve">ロール</t>
    </r>
  </si>
  <si>
    <r>
      <rPr>
        <sz val="10"/>
        <rFont val="Noto Sans CJK SC"/>
        <family val="2"/>
      </rPr>
      <t xml:space="preserve">一時的な認証情報を付与する仕組み。</t>
    </r>
    <r>
      <rPr>
        <sz val="10"/>
        <rFont val="Arial"/>
        <family val="0"/>
        <charset val="1"/>
      </rPr>
      <t xml:space="preserve">EC2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Lambda</t>
    </r>
    <r>
      <rPr>
        <sz val="10"/>
        <rFont val="Noto Sans CJK SC"/>
        <family val="2"/>
      </rPr>
      <t xml:space="preserve">・他アカウントが引き受ける</t>
    </r>
  </si>
  <si>
    <r>
      <rPr>
        <sz val="10"/>
        <rFont val="Arial"/>
        <family val="0"/>
        <charset val="1"/>
      </rPr>
      <t xml:space="preserve">EC2</t>
    </r>
    <r>
      <rPr>
        <sz val="10"/>
        <rFont val="Noto Sans CJK SC"/>
        <family val="2"/>
      </rPr>
      <t xml:space="preserve">にアクセスキーを置かずロールを使う、クロスアカウントアクセス</t>
    </r>
  </si>
  <si>
    <r>
      <rPr>
        <b val="true"/>
        <sz val="10"/>
        <rFont val="Arial"/>
        <family val="0"/>
        <charset val="1"/>
      </rPr>
      <t xml:space="preserve">IAM</t>
    </r>
    <r>
      <rPr>
        <b val="true"/>
        <sz val="10"/>
        <rFont val="Noto Sans CJK SC"/>
        <family val="2"/>
      </rPr>
      <t xml:space="preserve">ポリシー評価</t>
    </r>
  </si>
  <si>
    <r>
      <rPr>
        <sz val="10"/>
        <rFont val="Noto Sans CJK SC"/>
        <family val="2"/>
      </rPr>
      <t xml:space="preserve">明示的</t>
    </r>
    <r>
      <rPr>
        <sz val="10"/>
        <rFont val="Arial"/>
        <family val="0"/>
        <charset val="1"/>
      </rPr>
      <t xml:space="preserve">Deny &gt; </t>
    </r>
    <r>
      <rPr>
        <sz val="10"/>
        <rFont val="Noto Sans CJK SC"/>
        <family val="2"/>
      </rPr>
      <t xml:space="preserve">明示的</t>
    </r>
    <r>
      <rPr>
        <sz val="10"/>
        <rFont val="Arial"/>
        <family val="0"/>
        <charset val="1"/>
      </rPr>
      <t xml:space="preserve">Allow &gt; </t>
    </r>
    <r>
      <rPr>
        <sz val="10"/>
        <rFont val="Noto Sans CJK SC"/>
        <family val="2"/>
      </rPr>
      <t xml:space="preserve">暗黙的</t>
    </r>
    <r>
      <rPr>
        <sz val="10"/>
        <rFont val="Arial"/>
        <family val="0"/>
        <charset val="1"/>
      </rPr>
      <t xml:space="preserve">Deny</t>
    </r>
    <r>
      <rPr>
        <sz val="10"/>
        <rFont val="Noto Sans CJK SC"/>
        <family val="2"/>
      </rPr>
      <t xml:space="preserve">。アイデンティティベースとリソースベースがある</t>
    </r>
  </si>
  <si>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バケットポリシーなどリソースベースポリシーとの組み合わせ</t>
    </r>
  </si>
  <si>
    <t xml:space="preserve">AWS STS</t>
  </si>
  <si>
    <r>
      <rPr>
        <sz val="10"/>
        <rFont val="Noto Sans CJK SC"/>
        <family val="2"/>
      </rPr>
      <t xml:space="preserve">一時的なセキュリティ認証情報を発行</t>
    </r>
    <r>
      <rPr>
        <sz val="10"/>
        <rFont val="Arial"/>
        <family val="0"/>
        <charset val="1"/>
      </rPr>
      <t xml:space="preserve">(AssumeRole</t>
    </r>
    <r>
      <rPr>
        <sz val="10"/>
        <rFont val="Noto Sans CJK SC"/>
        <family val="2"/>
      </rPr>
      <t xml:space="preserve">等</t>
    </r>
    <r>
      <rPr>
        <sz val="10"/>
        <rFont val="Arial"/>
        <family val="0"/>
        <charset val="1"/>
      </rPr>
      <t xml:space="preserve">)</t>
    </r>
  </si>
  <si>
    <t xml:space="preserve">クロスアカウント・フェデレーション</t>
  </si>
  <si>
    <t xml:space="preserve">AWS Organizations</t>
  </si>
  <si>
    <r>
      <rPr>
        <sz val="10"/>
        <rFont val="Noto Sans CJK SC"/>
        <family val="2"/>
      </rPr>
      <t xml:space="preserve">複数アカウントを一元管理。一括請求、</t>
    </r>
    <r>
      <rPr>
        <sz val="10"/>
        <rFont val="Arial"/>
        <family val="0"/>
        <charset val="1"/>
      </rPr>
      <t xml:space="preserve">OU</t>
    </r>
    <r>
      <rPr>
        <sz val="10"/>
        <rFont val="Noto Sans CJK SC"/>
        <family val="2"/>
      </rPr>
      <t xml:space="preserve">単位での管理</t>
    </r>
  </si>
  <si>
    <t xml:space="preserve">マルチアカウント管理・ボリュームディスカウント</t>
  </si>
  <si>
    <r>
      <rPr>
        <b val="true"/>
        <sz val="10"/>
        <rFont val="Noto Sans CJK SC"/>
        <family val="2"/>
      </rPr>
      <t xml:space="preserve">サービスコントロールポリシー</t>
    </r>
    <r>
      <rPr>
        <b val="true"/>
        <sz val="10"/>
        <rFont val="Arial"/>
        <family val="0"/>
        <charset val="1"/>
      </rPr>
      <t xml:space="preserve">(SCP)</t>
    </r>
  </si>
  <si>
    <r>
      <rPr>
        <sz val="10"/>
        <rFont val="Arial"/>
        <family val="0"/>
        <charset val="1"/>
      </rPr>
      <t xml:space="preserve">Organizations</t>
    </r>
    <r>
      <rPr>
        <sz val="10"/>
        <rFont val="Noto Sans CJK SC"/>
        <family val="2"/>
      </rPr>
      <t xml:space="preserve">内アカウントの最大権限を制限するガードレール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権限は付与しない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</si>
  <si>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「ルートユーザー含め特定リージョン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サービスを禁止」→</t>
    </r>
    <r>
      <rPr>
        <sz val="10"/>
        <rFont val="Arial"/>
        <family val="0"/>
        <charset val="1"/>
      </rPr>
      <t xml:space="preserve">SCP</t>
    </r>
  </si>
  <si>
    <t xml:space="preserve">AWS IAM Identity Center</t>
  </si>
  <si>
    <r>
      <rPr>
        <sz val="10"/>
        <rFont val="Noto Sans CJK SC"/>
        <family val="2"/>
      </rPr>
      <t xml:space="preserve">旧</t>
    </r>
    <r>
      <rPr>
        <sz val="10"/>
        <rFont val="Arial"/>
        <family val="0"/>
        <charset val="1"/>
      </rPr>
      <t xml:space="preserve">AWS SSO</t>
    </r>
    <r>
      <rPr>
        <sz val="10"/>
        <rFont val="Noto Sans CJK SC"/>
        <family val="2"/>
      </rPr>
      <t xml:space="preserve">。複数アカウントへのシングルサインオンを一元管理</t>
    </r>
  </si>
  <si>
    <r>
      <rPr>
        <sz val="10"/>
        <rFont val="Noto Sans CJK SC"/>
        <family val="2"/>
      </rPr>
      <t xml:space="preserve">マルチアカウントへの</t>
    </r>
    <r>
      <rPr>
        <sz val="10"/>
        <rFont val="Arial"/>
        <family val="0"/>
        <charset val="1"/>
      </rPr>
      <t xml:space="preserve">SSO</t>
    </r>
    <r>
      <rPr>
        <sz val="10"/>
        <rFont val="Noto Sans CJK SC"/>
        <family val="2"/>
      </rPr>
      <t xml:space="preserve">、既存</t>
    </r>
    <r>
      <rPr>
        <sz val="10"/>
        <rFont val="Arial"/>
        <family val="0"/>
        <charset val="1"/>
      </rPr>
      <t xml:space="preserve">IdP/AD</t>
    </r>
    <r>
      <rPr>
        <sz val="10"/>
        <rFont val="Noto Sans CJK SC"/>
        <family val="2"/>
      </rPr>
      <t xml:space="preserve">連携</t>
    </r>
  </si>
  <si>
    <t xml:space="preserve">Amazon Cognito</t>
  </si>
  <si>
    <r>
      <rPr>
        <sz val="10"/>
        <rFont val="Arial"/>
        <family val="0"/>
        <charset val="1"/>
      </rPr>
      <t xml:space="preserve">Web/</t>
    </r>
    <r>
      <rPr>
        <sz val="10"/>
        <rFont val="Noto Sans CJK SC"/>
        <family val="2"/>
      </rPr>
      <t xml:space="preserve">モバイルアプリのユーザー認証。ユーザープール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認証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と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プール</t>
    </r>
    <r>
      <rPr>
        <sz val="10"/>
        <rFont val="Arial"/>
        <family val="0"/>
        <charset val="1"/>
      </rPr>
      <t xml:space="preserve">(AWS</t>
    </r>
    <r>
      <rPr>
        <sz val="10"/>
        <rFont val="Noto Sans CJK SC"/>
        <family val="2"/>
      </rPr>
      <t xml:space="preserve">認証情報の付与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</si>
  <si>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アプリのサインアップ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サインイン、ソーシャルログイン</t>
    </r>
  </si>
  <si>
    <t xml:space="preserve">AWS Directory Service</t>
  </si>
  <si>
    <r>
      <rPr>
        <sz val="10"/>
        <rFont val="Noto Sans CJK SC"/>
        <family val="2"/>
      </rPr>
      <t xml:space="preserve">マネージド</t>
    </r>
    <r>
      <rPr>
        <sz val="10"/>
        <rFont val="Arial"/>
        <family val="0"/>
        <charset val="1"/>
      </rPr>
      <t xml:space="preserve">Microsoft AD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AD Connector(</t>
    </r>
    <r>
      <rPr>
        <sz val="10"/>
        <rFont val="Noto Sans CJK SC"/>
        <family val="2"/>
      </rPr>
      <t xml:space="preserve">オンプレ</t>
    </r>
    <r>
      <rPr>
        <sz val="10"/>
        <rFont val="Arial"/>
        <family val="0"/>
        <charset val="1"/>
      </rPr>
      <t xml:space="preserve">AD</t>
    </r>
    <r>
      <rPr>
        <sz val="10"/>
        <rFont val="Noto Sans CJK SC"/>
        <family val="2"/>
      </rPr>
      <t xml:space="preserve">へのプロキシ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</si>
  <si>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オンプレ</t>
    </r>
    <r>
      <rPr>
        <sz val="10"/>
        <rFont val="Arial"/>
        <family val="0"/>
        <charset val="1"/>
      </rPr>
      <t xml:space="preserve">AD</t>
    </r>
    <r>
      <rPr>
        <sz val="10"/>
        <rFont val="Noto Sans CJK SC"/>
        <family val="2"/>
      </rPr>
      <t xml:space="preserve">との連携</t>
    </r>
  </si>
  <si>
    <t xml:space="preserve">AWS KMS</t>
  </si>
  <si>
    <r>
      <rPr>
        <sz val="10"/>
        <rFont val="Noto Sans CJK SC"/>
        <family val="2"/>
      </rPr>
      <t xml:space="preserve">暗号化キーの作成・管理。</t>
    </r>
    <r>
      <rPr>
        <sz val="10"/>
        <rFont val="Arial"/>
        <family val="0"/>
        <charset val="1"/>
      </rPr>
      <t xml:space="preserve">AWS</t>
    </r>
    <r>
      <rPr>
        <sz val="10"/>
        <rFont val="Noto Sans CJK SC"/>
        <family val="2"/>
      </rPr>
      <t xml:space="preserve">管理キーとカスタマー管理キー</t>
    </r>
  </si>
  <si>
    <t xml:space="preserve">保存データの暗号化。キーローテーション・キーポリシー</t>
  </si>
  <si>
    <t xml:space="preserve">AWS CloudHSM</t>
  </si>
  <si>
    <r>
      <rPr>
        <sz val="10"/>
        <rFont val="Noto Sans CJK SC"/>
        <family val="2"/>
      </rPr>
      <t xml:space="preserve">専有ハードウェアセキュリティモジュール</t>
    </r>
    <r>
      <rPr>
        <sz val="10"/>
        <rFont val="Arial"/>
        <family val="0"/>
        <charset val="1"/>
      </rPr>
      <t xml:space="preserve">(FIPS 140-3 </t>
    </r>
    <r>
      <rPr>
        <sz val="10"/>
        <rFont val="Noto Sans CJK SC"/>
        <family val="2"/>
      </rPr>
      <t xml:space="preserve">レベル</t>
    </r>
    <r>
      <rPr>
        <sz val="10"/>
        <rFont val="Arial"/>
        <family val="0"/>
        <charset val="1"/>
      </rPr>
      <t xml:space="preserve">3)</t>
    </r>
  </si>
  <si>
    <t xml:space="preserve">キーを顧客が完全管理する必要がある厳格なコンプライアンス</t>
  </si>
  <si>
    <t xml:space="preserve">AWS Secrets Manager</t>
  </si>
  <si>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認証情報などのシークレットを保存し自動ローテーション</t>
    </r>
  </si>
  <si>
    <r>
      <rPr>
        <sz val="10"/>
        <rFont val="Noto Sans CJK SC"/>
        <family val="2"/>
      </rPr>
      <t xml:space="preserve">パスワードの自動ローテーション→</t>
    </r>
    <r>
      <rPr>
        <sz val="10"/>
        <rFont val="Arial"/>
        <family val="0"/>
        <charset val="1"/>
      </rPr>
      <t xml:space="preserve">Secrets Manager</t>
    </r>
  </si>
  <si>
    <t xml:space="preserve">Systems Manager Parameter Store</t>
  </si>
  <si>
    <r>
      <rPr>
        <sz val="10"/>
        <rFont val="Noto Sans CJK SC"/>
        <family val="2"/>
      </rPr>
      <t xml:space="preserve">設定値やシークレットを階層的に保存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標準は無料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</si>
  <si>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設定値管理。自動ローテーションが必要なら</t>
    </r>
    <r>
      <rPr>
        <sz val="10"/>
        <rFont val="Arial"/>
        <family val="0"/>
        <charset val="1"/>
      </rPr>
      <t xml:space="preserve">Secrets Manager</t>
    </r>
  </si>
  <si>
    <t xml:space="preserve">AWS Certificate Manager(ACM)</t>
  </si>
  <si>
    <r>
      <rPr>
        <sz val="10"/>
        <rFont val="Arial"/>
        <family val="0"/>
        <charset val="1"/>
      </rPr>
      <t xml:space="preserve">SSL/TLS</t>
    </r>
    <r>
      <rPr>
        <sz val="10"/>
        <rFont val="Noto Sans CJK SC"/>
        <family val="2"/>
      </rPr>
      <t xml:space="preserve">証明書の発行・管理・自動更新</t>
    </r>
  </si>
  <si>
    <r>
      <rPr>
        <sz val="10"/>
        <rFont val="Arial"/>
        <family val="0"/>
        <charset val="1"/>
      </rPr>
      <t xml:space="preserve">ALB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CloudFront</t>
    </r>
    <r>
      <rPr>
        <sz val="10"/>
        <rFont val="Noto Sans CJK SC"/>
        <family val="2"/>
      </rPr>
      <t xml:space="preserve">での</t>
    </r>
    <r>
      <rPr>
        <sz val="10"/>
        <rFont val="Arial"/>
        <family val="0"/>
        <charset val="1"/>
      </rPr>
      <t xml:space="preserve">HTTPS</t>
    </r>
    <r>
      <rPr>
        <sz val="10"/>
        <rFont val="Noto Sans CJK SC"/>
        <family val="2"/>
      </rPr>
      <t xml:space="preserve">化</t>
    </r>
  </si>
  <si>
    <t xml:space="preserve">AWS WAF</t>
  </si>
  <si>
    <r>
      <rPr>
        <sz val="10"/>
        <rFont val="Arial"/>
        <family val="0"/>
        <charset val="1"/>
      </rPr>
      <t xml:space="preserve">Web</t>
    </r>
    <r>
      <rPr>
        <sz val="10"/>
        <rFont val="Noto Sans CJK SC"/>
        <family val="2"/>
      </rPr>
      <t xml:space="preserve">アプリケーションファイアウォール。</t>
    </r>
    <r>
      <rPr>
        <sz val="10"/>
        <rFont val="Arial"/>
        <family val="0"/>
        <charset val="1"/>
      </rPr>
      <t xml:space="preserve">SQL</t>
    </r>
    <r>
      <rPr>
        <sz val="10"/>
        <rFont val="Noto Sans CJK SC"/>
        <family val="2"/>
      </rPr>
      <t xml:space="preserve">インジェクション・</t>
    </r>
    <r>
      <rPr>
        <sz val="10"/>
        <rFont val="Arial"/>
        <family val="0"/>
        <charset val="1"/>
      </rPr>
      <t xml:space="preserve">XSS</t>
    </r>
    <r>
      <rPr>
        <sz val="10"/>
        <rFont val="Noto Sans CJK SC"/>
        <family val="2"/>
      </rPr>
      <t xml:space="preserve">・レート制限</t>
    </r>
  </si>
  <si>
    <r>
      <rPr>
        <sz val="10"/>
        <rFont val="Arial"/>
        <family val="0"/>
        <charset val="1"/>
      </rPr>
      <t xml:space="preserve">ALB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CloudFront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API Gateway</t>
    </r>
    <r>
      <rPr>
        <sz val="10"/>
        <rFont val="Noto Sans CJK SC"/>
        <family val="2"/>
      </rPr>
      <t xml:space="preserve">に適用。</t>
    </r>
    <r>
      <rPr>
        <sz val="10"/>
        <rFont val="Arial"/>
        <family val="0"/>
        <charset val="1"/>
      </rPr>
      <t xml:space="preserve">L7</t>
    </r>
    <r>
      <rPr>
        <sz val="10"/>
        <rFont val="Noto Sans CJK SC"/>
        <family val="2"/>
      </rPr>
      <t xml:space="preserve">攻撃対策</t>
    </r>
  </si>
  <si>
    <t xml:space="preserve">AWS Shield</t>
  </si>
  <si>
    <r>
      <rPr>
        <sz val="10"/>
        <rFont val="Arial"/>
        <family val="0"/>
        <charset val="1"/>
      </rPr>
      <t xml:space="preserve">DDoS</t>
    </r>
    <r>
      <rPr>
        <sz val="10"/>
        <rFont val="Noto Sans CJK SC"/>
        <family val="2"/>
      </rPr>
      <t xml:space="preserve">防御。</t>
    </r>
    <r>
      <rPr>
        <sz val="10"/>
        <rFont val="Arial"/>
        <family val="0"/>
        <charset val="1"/>
      </rPr>
      <t xml:space="preserve">Standard(</t>
    </r>
    <r>
      <rPr>
        <sz val="10"/>
        <rFont val="Noto Sans CJK SC"/>
        <family val="2"/>
      </rPr>
      <t xml:space="preserve">自動・無料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と</t>
    </r>
    <r>
      <rPr>
        <sz val="10"/>
        <rFont val="Arial"/>
        <family val="0"/>
        <charset val="1"/>
      </rPr>
      <t xml:space="preserve">Advanced(</t>
    </r>
    <r>
      <rPr>
        <sz val="10"/>
        <rFont val="Noto Sans CJK SC"/>
        <family val="2"/>
      </rPr>
      <t xml:space="preserve">有料・</t>
    </r>
    <r>
      <rPr>
        <sz val="10"/>
        <rFont val="Arial"/>
        <family val="0"/>
        <charset val="1"/>
      </rPr>
      <t xml:space="preserve">DRT</t>
    </r>
    <r>
      <rPr>
        <sz val="10"/>
        <rFont val="Noto Sans CJK SC"/>
        <family val="2"/>
      </rPr>
      <t xml:space="preserve">サポート・コスト保護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</si>
  <si>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大規模</t>
    </r>
    <r>
      <rPr>
        <sz val="10"/>
        <rFont val="Arial"/>
        <family val="0"/>
        <charset val="1"/>
      </rPr>
      <t xml:space="preserve">DDoS</t>
    </r>
    <r>
      <rPr>
        <sz val="10"/>
        <rFont val="Noto Sans CJK SC"/>
        <family val="2"/>
      </rPr>
      <t xml:space="preserve">対策→</t>
    </r>
    <r>
      <rPr>
        <sz val="10"/>
        <rFont val="Arial"/>
        <family val="0"/>
        <charset val="1"/>
      </rPr>
      <t xml:space="preserve">Shield Advanced</t>
    </r>
  </si>
  <si>
    <t xml:space="preserve">AWS Firewall Manager</t>
  </si>
  <si>
    <r>
      <rPr>
        <sz val="10"/>
        <rFont val="Noto Sans CJK SC"/>
        <family val="2"/>
      </rPr>
      <t xml:space="preserve">複数アカウントの</t>
    </r>
    <r>
      <rPr>
        <sz val="10"/>
        <rFont val="Arial"/>
        <family val="0"/>
        <charset val="1"/>
      </rPr>
      <t xml:space="preserve">WAF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Shield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SG</t>
    </r>
    <r>
      <rPr>
        <sz val="10"/>
        <rFont val="Noto Sans CJK SC"/>
        <family val="2"/>
      </rPr>
      <t xml:space="preserve">ルールを一元管理</t>
    </r>
  </si>
  <si>
    <r>
      <rPr>
        <sz val="10"/>
        <rFont val="Arial"/>
        <family val="0"/>
        <charset val="1"/>
      </rPr>
      <t xml:space="preserve">Organizations</t>
    </r>
    <r>
      <rPr>
        <sz val="10"/>
        <rFont val="Noto Sans CJK SC"/>
        <family val="2"/>
      </rPr>
      <t xml:space="preserve">全体でのセキュリティルール統一</t>
    </r>
  </si>
  <si>
    <t xml:space="preserve">AWS Network Firewall</t>
  </si>
  <si>
    <r>
      <rPr>
        <sz val="10"/>
        <rFont val="Arial"/>
        <family val="0"/>
        <charset val="1"/>
      </rPr>
      <t xml:space="preserve">VPC</t>
    </r>
    <r>
      <rPr>
        <sz val="10"/>
        <rFont val="Noto Sans CJK SC"/>
        <family val="2"/>
      </rPr>
      <t xml:space="preserve">向けのマネージドネットワークファイアウォール</t>
    </r>
  </si>
  <si>
    <r>
      <rPr>
        <sz val="10"/>
        <rFont val="Arial"/>
        <family val="0"/>
        <charset val="1"/>
      </rPr>
      <t xml:space="preserve">VPC</t>
    </r>
    <r>
      <rPr>
        <sz val="10"/>
        <rFont val="Noto Sans CJK SC"/>
        <family val="2"/>
      </rPr>
      <t xml:space="preserve">レベルでのトラフィックフィルタリング・</t>
    </r>
    <r>
      <rPr>
        <sz val="10"/>
        <rFont val="Arial"/>
        <family val="0"/>
        <charset val="1"/>
      </rPr>
      <t xml:space="preserve">IDS/IPS</t>
    </r>
  </si>
  <si>
    <t xml:space="preserve">Amazon GuardDuty</t>
  </si>
  <si>
    <r>
      <rPr>
        <sz val="10"/>
        <rFont val="Noto Sans CJK SC"/>
        <family val="2"/>
      </rPr>
      <t xml:space="preserve">ログ</t>
    </r>
    <r>
      <rPr>
        <sz val="10"/>
        <rFont val="Arial"/>
        <family val="0"/>
        <charset val="1"/>
      </rPr>
      <t xml:space="preserve">(CloudTrail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VPC</t>
    </r>
    <r>
      <rPr>
        <sz val="10"/>
        <rFont val="Noto Sans CJK SC"/>
        <family val="2"/>
      </rPr>
      <t xml:space="preserve">フローログ、</t>
    </r>
    <r>
      <rPr>
        <sz val="10"/>
        <rFont val="Arial"/>
        <family val="0"/>
        <charset val="1"/>
      </rPr>
      <t xml:space="preserve">DNS)</t>
    </r>
    <r>
      <rPr>
        <sz val="10"/>
        <rFont val="Noto Sans CJK SC"/>
        <family val="2"/>
      </rPr>
      <t xml:space="preserve">を機械学習で分析する脅威検出</t>
    </r>
  </si>
  <si>
    <t xml:space="preserve">不審なアクティビティの検出</t>
  </si>
  <si>
    <t xml:space="preserve">Amazon Inspector</t>
  </si>
  <si>
    <r>
      <rPr>
        <sz val="10"/>
        <rFont val="Arial"/>
        <family val="0"/>
        <charset val="1"/>
      </rPr>
      <t xml:space="preserve">EC2</t>
    </r>
    <r>
      <rPr>
        <sz val="10"/>
        <rFont val="Noto Sans CJK SC"/>
        <family val="2"/>
      </rPr>
      <t xml:space="preserve">・コンテナイメージ・</t>
    </r>
    <r>
      <rPr>
        <sz val="10"/>
        <rFont val="Arial"/>
        <family val="0"/>
        <charset val="1"/>
      </rPr>
      <t xml:space="preserve">Lambda</t>
    </r>
    <r>
      <rPr>
        <sz val="10"/>
        <rFont val="Noto Sans CJK SC"/>
        <family val="2"/>
      </rPr>
      <t xml:space="preserve">の脆弱性を自動スキャン</t>
    </r>
  </si>
  <si>
    <t xml:space="preserve">ソフトウェア脆弱性・意図しないネットワーク露出の検出</t>
  </si>
  <si>
    <t xml:space="preserve">Amazon Macie</t>
  </si>
  <si>
    <r>
      <rPr>
        <sz val="10"/>
        <rFont val="Noto Sans CJK SC"/>
        <family val="2"/>
      </rPr>
      <t xml:space="preserve">機械学習で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内の機密データ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個人情報など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を検出</t>
    </r>
  </si>
  <si>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の</t>
    </r>
    <r>
      <rPr>
        <sz val="10"/>
        <rFont val="Arial"/>
        <family val="0"/>
        <charset val="1"/>
      </rPr>
      <t xml:space="preserve">PII</t>
    </r>
    <r>
      <rPr>
        <sz val="10"/>
        <rFont val="Noto Sans CJK SC"/>
        <family val="2"/>
      </rPr>
      <t xml:space="preserve">検出</t>
    </r>
  </si>
  <si>
    <t xml:space="preserve">AWS Security Hub</t>
  </si>
  <si>
    <t xml:space="preserve">セキュリティアラートとコンプライアンス状況を一元集約</t>
  </si>
  <si>
    <t xml:space="preserve">複数のセキュリティサービスの結果を統合表示</t>
  </si>
  <si>
    <t xml:space="preserve">Amazon Detective</t>
  </si>
  <si>
    <t xml:space="preserve">セキュリティ調査のための根本原因分析</t>
  </si>
  <si>
    <r>
      <rPr>
        <sz val="10"/>
        <rFont val="Arial"/>
        <family val="0"/>
        <charset val="1"/>
      </rPr>
      <t xml:space="preserve">GuardDuty</t>
    </r>
    <r>
      <rPr>
        <sz val="10"/>
        <rFont val="Noto Sans CJK SC"/>
        <family val="2"/>
      </rPr>
      <t xml:space="preserve">の検出結果の深掘り</t>
    </r>
  </si>
  <si>
    <t xml:space="preserve">アプリケーション統合</t>
  </si>
  <si>
    <t xml:space="preserve">Amazon SQS</t>
  </si>
  <si>
    <r>
      <rPr>
        <sz val="10"/>
        <rFont val="Noto Sans CJK SC"/>
        <family val="2"/>
      </rPr>
      <t xml:space="preserve">フルマネージドのメッセージキュー。標準キュー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少なくとも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回・順序保証なし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と</t>
    </r>
    <r>
      <rPr>
        <sz val="10"/>
        <rFont val="Arial"/>
        <family val="0"/>
        <charset val="1"/>
      </rPr>
      <t xml:space="preserve">FIFO</t>
    </r>
    <r>
      <rPr>
        <sz val="10"/>
        <rFont val="Noto Sans CJK SC"/>
        <family val="2"/>
      </rPr>
      <t xml:space="preserve">キュー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順序保証・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回のみ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</si>
  <si>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コンポーネントの疎結合化・負荷平準化。順序保証→</t>
    </r>
    <r>
      <rPr>
        <sz val="10"/>
        <rFont val="Arial"/>
        <family val="0"/>
        <charset val="1"/>
      </rPr>
      <t xml:space="preserve">FIFO</t>
    </r>
  </si>
  <si>
    <r>
      <rPr>
        <b val="true"/>
        <sz val="10"/>
        <rFont val="Arial"/>
        <family val="0"/>
        <charset val="1"/>
      </rPr>
      <t xml:space="preserve">SQS</t>
    </r>
    <r>
      <rPr>
        <b val="true"/>
        <sz val="10"/>
        <rFont val="Noto Sans CJK SC"/>
        <family val="2"/>
      </rPr>
      <t xml:space="preserve">可視性タイムアウト</t>
    </r>
  </si>
  <si>
    <t xml:space="preserve">受信したメッセージを一定時間他のコンシューマーから見えなくする</t>
  </si>
  <si>
    <t xml:space="preserve">処理時間より長く設定しないと重複処理が起きる</t>
  </si>
  <si>
    <r>
      <rPr>
        <b val="true"/>
        <sz val="10"/>
        <rFont val="Noto Sans CJK SC"/>
        <family val="2"/>
      </rPr>
      <t xml:space="preserve">デッドレターキュー</t>
    </r>
    <r>
      <rPr>
        <b val="true"/>
        <sz val="10"/>
        <rFont val="Arial"/>
        <family val="0"/>
        <charset val="1"/>
      </rPr>
      <t xml:space="preserve">(DLQ)</t>
    </r>
  </si>
  <si>
    <t xml:space="preserve">処理に繰り返し失敗したメッセージを隔離するキュー</t>
  </si>
  <si>
    <t xml:space="preserve">失敗メッセージの分析・再処理</t>
  </si>
  <si>
    <t xml:space="preserve">Amazon SNS</t>
  </si>
  <si>
    <r>
      <rPr>
        <sz val="10"/>
        <rFont val="Arial"/>
        <family val="0"/>
        <charset val="1"/>
      </rPr>
      <t xml:space="preserve">Pub/Sub</t>
    </r>
    <r>
      <rPr>
        <sz val="10"/>
        <rFont val="Noto Sans CJK SC"/>
        <family val="2"/>
      </rPr>
      <t xml:space="preserve">型の通知サービス。メール・</t>
    </r>
    <r>
      <rPr>
        <sz val="10"/>
        <rFont val="Arial"/>
        <family val="0"/>
        <charset val="1"/>
      </rPr>
      <t xml:space="preserve">SMS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SQS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Lambda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HTTP</t>
    </r>
    <r>
      <rPr>
        <sz val="10"/>
        <rFont val="Noto Sans CJK SC"/>
        <family val="2"/>
      </rPr>
      <t xml:space="preserve">へ配信</t>
    </r>
  </si>
  <si>
    <r>
      <rPr>
        <sz val="10"/>
        <rFont val="Noto Sans CJK SC"/>
        <family val="2"/>
      </rPr>
      <t xml:space="preserve">ファンアウト</t>
    </r>
    <r>
      <rPr>
        <sz val="10"/>
        <rFont val="Arial"/>
        <family val="0"/>
        <charset val="1"/>
      </rPr>
      <t xml:space="preserve">(SNS→</t>
    </r>
    <r>
      <rPr>
        <sz val="10"/>
        <rFont val="Noto Sans CJK SC"/>
        <family val="2"/>
      </rPr>
      <t xml:space="preserve">複数</t>
    </r>
    <r>
      <rPr>
        <sz val="10"/>
        <rFont val="Arial"/>
        <family val="0"/>
        <charset val="1"/>
      </rPr>
      <t xml:space="preserve">SQS)</t>
    </r>
  </si>
  <si>
    <t xml:space="preserve">Amazon EventBridge</t>
  </si>
  <si>
    <r>
      <rPr>
        <sz val="10"/>
        <rFont val="Noto Sans CJK SC"/>
        <family val="2"/>
      </rPr>
      <t xml:space="preserve">イベントバス。</t>
    </r>
    <r>
      <rPr>
        <sz val="10"/>
        <rFont val="Arial"/>
        <family val="0"/>
        <charset val="1"/>
      </rPr>
      <t xml:space="preserve">AWS</t>
    </r>
    <r>
      <rPr>
        <sz val="10"/>
        <rFont val="Noto Sans CJK SC"/>
        <family val="2"/>
      </rPr>
      <t xml:space="preserve">サービス・</t>
    </r>
    <r>
      <rPr>
        <sz val="10"/>
        <rFont val="Arial"/>
        <family val="0"/>
        <charset val="1"/>
      </rPr>
      <t xml:space="preserve">SaaS</t>
    </r>
    <r>
      <rPr>
        <sz val="10"/>
        <rFont val="Noto Sans CJK SC"/>
        <family val="2"/>
      </rPr>
      <t xml:space="preserve">・独自アプリのイベントをルールで振り分け、スケジュール実行も可能</t>
    </r>
  </si>
  <si>
    <r>
      <rPr>
        <sz val="10"/>
        <rFont val="Noto Sans CJK SC"/>
        <family val="2"/>
      </rPr>
      <t xml:space="preserve">イベント駆動アーキテクチャ・定期実行</t>
    </r>
    <r>
      <rPr>
        <sz val="10"/>
        <rFont val="Arial"/>
        <family val="0"/>
        <charset val="1"/>
      </rPr>
      <t xml:space="preserve">(cron)</t>
    </r>
  </si>
  <si>
    <t xml:space="preserve">AWS Step Functions</t>
  </si>
  <si>
    <r>
      <rPr>
        <sz val="10"/>
        <rFont val="Noto Sans CJK SC"/>
        <family val="2"/>
      </rPr>
      <t xml:space="preserve">複数の</t>
    </r>
    <r>
      <rPr>
        <sz val="10"/>
        <rFont val="Arial"/>
        <family val="0"/>
        <charset val="1"/>
      </rPr>
      <t xml:space="preserve">Lambda</t>
    </r>
    <r>
      <rPr>
        <sz val="10"/>
        <rFont val="Noto Sans CJK SC"/>
        <family val="2"/>
      </rPr>
      <t xml:space="preserve">やサービスをステートマシンでワークフロー化</t>
    </r>
  </si>
  <si>
    <t xml:space="preserve">複雑なワークフロー・リトライ・人の承認を含む処理</t>
  </si>
  <si>
    <t xml:space="preserve">Amazon API Gateway</t>
  </si>
  <si>
    <r>
      <rPr>
        <sz val="10"/>
        <rFont val="Arial"/>
        <family val="0"/>
        <charset val="1"/>
      </rPr>
      <t xml:space="preserve">REST/HTTP/WebSocket API</t>
    </r>
    <r>
      <rPr>
        <sz val="10"/>
        <rFont val="Noto Sans CJK SC"/>
        <family val="2"/>
      </rPr>
      <t xml:space="preserve">の作成・公開・管理。スロットリング・キャッシュ・認証</t>
    </r>
  </si>
  <si>
    <r>
      <rPr>
        <sz val="10"/>
        <rFont val="Arial"/>
        <family val="0"/>
        <charset val="1"/>
      </rPr>
      <t xml:space="preserve">Lambda</t>
    </r>
    <r>
      <rPr>
        <sz val="10"/>
        <rFont val="Noto Sans CJK SC"/>
        <family val="2"/>
      </rPr>
      <t xml:space="preserve">と組み合わせたサーバーレス</t>
    </r>
    <r>
      <rPr>
        <sz val="10"/>
        <rFont val="Arial"/>
        <family val="0"/>
        <charset val="1"/>
      </rPr>
      <t xml:space="preserve">API</t>
    </r>
  </si>
  <si>
    <t xml:space="preserve">Amazon MQ</t>
  </si>
  <si>
    <r>
      <rPr>
        <sz val="10"/>
        <rFont val="Arial"/>
        <family val="0"/>
        <charset val="1"/>
      </rPr>
      <t xml:space="preserve">Apache ActiveMQ / RabbitMQ</t>
    </r>
    <r>
      <rPr>
        <sz val="10"/>
        <rFont val="Noto Sans CJK SC"/>
        <family val="2"/>
      </rPr>
      <t xml:space="preserve">のマネージドサービス</t>
    </r>
  </si>
  <si>
    <r>
      <rPr>
        <sz val="10"/>
        <rFont val="Noto Sans CJK SC"/>
        <family val="2"/>
      </rPr>
      <t xml:space="preserve">既存の</t>
    </r>
    <r>
      <rPr>
        <sz val="10"/>
        <rFont val="Arial"/>
        <family val="0"/>
        <charset val="1"/>
      </rPr>
      <t xml:space="preserve">MQTT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AMQP</t>
    </r>
    <r>
      <rPr>
        <sz val="10"/>
        <rFont val="Noto Sans CJK SC"/>
        <family val="2"/>
      </rPr>
      <t xml:space="preserve">等の標準プロトコルを使うアプリの移行</t>
    </r>
  </si>
  <si>
    <t xml:space="preserve">AWS AppSync</t>
  </si>
  <si>
    <r>
      <rPr>
        <sz val="10"/>
        <rFont val="Noto Sans CJK SC"/>
        <family val="2"/>
      </rPr>
      <t xml:space="preserve">マネージド</t>
    </r>
    <r>
      <rPr>
        <sz val="10"/>
        <rFont val="Arial"/>
        <family val="0"/>
        <charset val="1"/>
      </rPr>
      <t xml:space="preserve">GraphQL API</t>
    </r>
  </si>
  <si>
    <r>
      <rPr>
        <sz val="10"/>
        <rFont val="Arial"/>
        <family val="0"/>
        <charset val="1"/>
      </rPr>
      <t xml:space="preserve">GraphQL</t>
    </r>
    <r>
      <rPr>
        <sz val="10"/>
        <rFont val="Noto Sans CJK SC"/>
        <family val="2"/>
      </rPr>
      <t xml:space="preserve">・リアルタイムデータ同期</t>
    </r>
  </si>
  <si>
    <t xml:space="preserve">分析</t>
  </si>
  <si>
    <t xml:space="preserve">Amazon Kinesis Data Streams</t>
  </si>
  <si>
    <t xml:space="preserve">リアルタイムのストリーミングデータ収集。シャード単位でスケール</t>
  </si>
  <si>
    <t xml:space="preserve">リアルタイム処理・複数コンシューマー・データの再処理</t>
  </si>
  <si>
    <t xml:space="preserve">Amazon Data Firehose</t>
  </si>
  <si>
    <r>
      <rPr>
        <sz val="10"/>
        <rFont val="Noto Sans CJK SC"/>
        <family val="2"/>
      </rPr>
      <t xml:space="preserve">旧</t>
    </r>
    <r>
      <rPr>
        <sz val="10"/>
        <rFont val="Arial"/>
        <family val="0"/>
        <charset val="1"/>
      </rPr>
      <t xml:space="preserve">Kinesis Data Firehose</t>
    </r>
    <r>
      <rPr>
        <sz val="10"/>
        <rFont val="Noto Sans CJK SC"/>
        <family val="2"/>
      </rPr>
      <t xml:space="preserve">。ストリーミングデータを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Redshift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OpenSearch</t>
    </r>
    <r>
      <rPr>
        <sz val="10"/>
        <rFont val="Noto Sans CJK SC"/>
        <family val="2"/>
      </rPr>
      <t xml:space="preserve">等へ自動配信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ほぼリアルタイム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</si>
  <si>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「コード不要でストリームを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に保存」→</t>
    </r>
    <r>
      <rPr>
        <sz val="10"/>
        <rFont val="Arial"/>
        <family val="0"/>
        <charset val="1"/>
      </rPr>
      <t xml:space="preserve">Firehose</t>
    </r>
  </si>
  <si>
    <t xml:space="preserve">Amazon Athena</t>
  </si>
  <si>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上のデータを標準</t>
    </r>
    <r>
      <rPr>
        <sz val="10"/>
        <rFont val="Arial"/>
        <family val="0"/>
        <charset val="1"/>
      </rPr>
      <t xml:space="preserve">SQL</t>
    </r>
    <r>
      <rPr>
        <sz val="10"/>
        <rFont val="Noto Sans CJK SC"/>
        <family val="2"/>
      </rPr>
      <t xml:space="preserve">で直接クエリするサーバーレス分析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スキャン量課金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</si>
  <si>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のログをアドホックに分析。</t>
    </r>
    <r>
      <rPr>
        <sz val="10"/>
        <rFont val="Arial"/>
        <family val="0"/>
        <charset val="1"/>
      </rPr>
      <t xml:space="preserve">Parquet</t>
    </r>
    <r>
      <rPr>
        <sz val="10"/>
        <rFont val="Noto Sans CJK SC"/>
        <family val="2"/>
      </rPr>
      <t xml:space="preserve">・パーティションでコスト削減</t>
    </r>
  </si>
  <si>
    <t xml:space="preserve">AWS Glue</t>
  </si>
  <si>
    <r>
      <rPr>
        <sz val="10"/>
        <rFont val="Noto Sans CJK SC"/>
        <family val="2"/>
      </rPr>
      <t xml:space="preserve">サーバーレス</t>
    </r>
    <r>
      <rPr>
        <sz val="10"/>
        <rFont val="Arial"/>
        <family val="0"/>
        <charset val="1"/>
      </rPr>
      <t xml:space="preserve">ETL</t>
    </r>
    <r>
      <rPr>
        <sz val="10"/>
        <rFont val="Noto Sans CJK SC"/>
        <family val="2"/>
      </rPr>
      <t xml:space="preserve">とデータカタログ</t>
    </r>
  </si>
  <si>
    <r>
      <rPr>
        <sz val="10"/>
        <rFont val="Noto Sans CJK SC"/>
        <family val="2"/>
      </rPr>
      <t xml:space="preserve">データの変換・カタログ化。</t>
    </r>
    <r>
      <rPr>
        <sz val="10"/>
        <rFont val="Arial"/>
        <family val="0"/>
        <charset val="1"/>
      </rPr>
      <t xml:space="preserve">CSV→Parquet</t>
    </r>
    <r>
      <rPr>
        <sz val="10"/>
        <rFont val="Noto Sans CJK SC"/>
        <family val="2"/>
      </rPr>
      <t xml:space="preserve">変換</t>
    </r>
  </si>
  <si>
    <t xml:space="preserve">AWS Lake Formation</t>
  </si>
  <si>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上のデータレイクの構築とアクセス権限の一元管理</t>
    </r>
  </si>
  <si>
    <t xml:space="preserve">データレイクの細かな権限管理</t>
  </si>
  <si>
    <t xml:space="preserve">Amazon EMR</t>
  </si>
  <si>
    <r>
      <rPr>
        <sz val="10"/>
        <rFont val="Arial"/>
        <family val="0"/>
        <charset val="1"/>
      </rPr>
      <t xml:space="preserve">Hadoop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Spark</t>
    </r>
    <r>
      <rPr>
        <sz val="10"/>
        <rFont val="Noto Sans CJK SC"/>
        <family val="2"/>
      </rPr>
      <t xml:space="preserve">などのビッグデータ処理クラスター</t>
    </r>
  </si>
  <si>
    <t xml:space="preserve">大規模なビッグデータ処理</t>
  </si>
  <si>
    <t xml:space="preserve">Amazon OpenSearch Service</t>
  </si>
  <si>
    <r>
      <rPr>
        <sz val="10"/>
        <rFont val="Arial"/>
        <family val="0"/>
        <charset val="1"/>
      </rPr>
      <t xml:space="preserve">OpenSearch/Elasticsearch</t>
    </r>
    <r>
      <rPr>
        <sz val="10"/>
        <rFont val="Noto Sans CJK SC"/>
        <family val="2"/>
      </rPr>
      <t xml:space="preserve">のマネージドサービス。全文検索・ログ分析</t>
    </r>
  </si>
  <si>
    <t xml:space="preserve">全文検索・ログ可視化</t>
  </si>
  <si>
    <t xml:space="preserve">Amazon QuickSight</t>
  </si>
  <si>
    <r>
      <rPr>
        <sz val="10"/>
        <rFont val="Noto Sans CJK SC"/>
        <family val="2"/>
      </rPr>
      <t xml:space="preserve">サーバーレスの</t>
    </r>
    <r>
      <rPr>
        <sz val="10"/>
        <rFont val="Arial"/>
        <family val="0"/>
        <charset val="1"/>
      </rPr>
      <t xml:space="preserve">BI</t>
    </r>
    <r>
      <rPr>
        <sz val="10"/>
        <rFont val="Noto Sans CJK SC"/>
        <family val="2"/>
      </rPr>
      <t xml:space="preserve">・ダッシュボード</t>
    </r>
  </si>
  <si>
    <t xml:space="preserve">データの可視化</t>
  </si>
  <si>
    <t xml:space="preserve">Amazon MSK</t>
  </si>
  <si>
    <r>
      <rPr>
        <sz val="10"/>
        <rFont val="Noto Sans CJK SC"/>
        <family val="2"/>
      </rPr>
      <t xml:space="preserve">マネージド</t>
    </r>
    <r>
      <rPr>
        <sz val="10"/>
        <rFont val="Arial"/>
        <family val="0"/>
        <charset val="1"/>
      </rPr>
      <t xml:space="preserve">Apache Kafka</t>
    </r>
  </si>
  <si>
    <r>
      <rPr>
        <sz val="10"/>
        <rFont val="Noto Sans CJK SC"/>
        <family val="2"/>
      </rPr>
      <t xml:space="preserve">既存</t>
    </r>
    <r>
      <rPr>
        <sz val="10"/>
        <rFont val="Arial"/>
        <family val="0"/>
        <charset val="1"/>
      </rPr>
      <t xml:space="preserve">Kafka</t>
    </r>
    <r>
      <rPr>
        <sz val="10"/>
        <rFont val="Noto Sans CJK SC"/>
        <family val="2"/>
      </rPr>
      <t xml:space="preserve">アプリの移行</t>
    </r>
  </si>
  <si>
    <t xml:space="preserve">管理・監視</t>
  </si>
  <si>
    <t xml:space="preserve">Amazon CloudWatch</t>
  </si>
  <si>
    <t xml:space="preserve">メトリクス・ログ・アラームによる監視</t>
  </si>
  <si>
    <r>
      <rPr>
        <sz val="10"/>
        <rFont val="Arial"/>
        <family val="0"/>
        <charset val="1"/>
      </rPr>
      <t xml:space="preserve">CPU</t>
    </r>
    <r>
      <rPr>
        <sz val="10"/>
        <rFont val="Noto Sans CJK SC"/>
        <family val="2"/>
      </rPr>
      <t xml:space="preserve">使用率などのアラームで</t>
    </r>
    <r>
      <rPr>
        <sz val="10"/>
        <rFont val="Arial"/>
        <family val="0"/>
        <charset val="1"/>
      </rPr>
      <t xml:space="preserve">Auto Scaling</t>
    </r>
    <r>
      <rPr>
        <sz val="10"/>
        <rFont val="Noto Sans CJK SC"/>
        <family val="2"/>
      </rPr>
      <t xml:space="preserve">・通知</t>
    </r>
  </si>
  <si>
    <r>
      <rPr>
        <b val="true"/>
        <sz val="10"/>
        <rFont val="Arial"/>
        <family val="0"/>
        <charset val="1"/>
      </rPr>
      <t xml:space="preserve">CloudWatch</t>
    </r>
    <r>
      <rPr>
        <b val="true"/>
        <sz val="10"/>
        <rFont val="Noto Sans CJK SC"/>
        <family val="2"/>
      </rPr>
      <t xml:space="preserve">エージェント</t>
    </r>
  </si>
  <si>
    <r>
      <rPr>
        <sz val="10"/>
        <rFont val="Arial"/>
        <family val="0"/>
        <charset val="1"/>
      </rPr>
      <t xml:space="preserve">EC2</t>
    </r>
    <r>
      <rPr>
        <sz val="10"/>
        <rFont val="Noto Sans CJK SC"/>
        <family val="2"/>
      </rPr>
      <t xml:space="preserve">のメモリ使用率・ディスク使用率など</t>
    </r>
    <r>
      <rPr>
        <sz val="10"/>
        <rFont val="Arial"/>
        <family val="0"/>
        <charset val="1"/>
      </rPr>
      <t xml:space="preserve">OS</t>
    </r>
    <r>
      <rPr>
        <sz val="10"/>
        <rFont val="Noto Sans CJK SC"/>
        <family val="2"/>
      </rPr>
      <t xml:space="preserve">内部のメトリクスとログを収集</t>
    </r>
  </si>
  <si>
    <t xml:space="preserve">メモリ使用率は標準メトリクスに含まれない→エージェント</t>
  </si>
  <si>
    <t xml:space="preserve">AWS CloudTrail</t>
  </si>
  <si>
    <r>
      <rPr>
        <sz val="10"/>
        <rFont val="Arial"/>
        <family val="0"/>
        <charset val="1"/>
      </rPr>
      <t xml:space="preserve">AWS</t>
    </r>
    <r>
      <rPr>
        <sz val="10"/>
        <rFont val="Noto Sans CJK SC"/>
        <family val="2"/>
      </rPr>
      <t xml:space="preserve">アカウントの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呼び出し履歴を記録</t>
    </r>
  </si>
  <si>
    <t xml:space="preserve">「誰がいつ何をしたか」の監査</t>
  </si>
  <si>
    <t xml:space="preserve">AWS Config</t>
  </si>
  <si>
    <t xml:space="preserve">リソースの設定変更履歴を記録し、ルールで準拠状況を評価</t>
  </si>
  <si>
    <t xml:space="preserve">設定のコンプライアンスチェック・自動修復</t>
  </si>
  <si>
    <t xml:space="preserve">AWS Systems Manager</t>
  </si>
  <si>
    <r>
      <rPr>
        <sz val="10"/>
        <rFont val="Arial"/>
        <family val="0"/>
        <charset val="1"/>
      </rPr>
      <t xml:space="preserve">EC2</t>
    </r>
    <r>
      <rPr>
        <sz val="10"/>
        <rFont val="Noto Sans CJK SC"/>
        <family val="2"/>
      </rPr>
      <t xml:space="preserve">等の運用管理</t>
    </r>
    <r>
      <rPr>
        <sz val="10"/>
        <rFont val="Arial"/>
        <family val="0"/>
        <charset val="1"/>
      </rPr>
      <t xml:space="preserve">(Session Manager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Patch Manager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Run Command</t>
    </r>
    <r>
      <rPr>
        <sz val="10"/>
        <rFont val="Noto Sans CJK SC"/>
        <family val="2"/>
      </rPr>
      <t xml:space="preserve">等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</si>
  <si>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SSH</t>
    </r>
    <r>
      <rPr>
        <sz val="10"/>
        <rFont val="Noto Sans CJK SC"/>
        <family val="2"/>
      </rPr>
      <t xml:space="preserve">ポートを開けずに</t>
    </r>
    <r>
      <rPr>
        <sz val="10"/>
        <rFont val="Arial"/>
        <family val="0"/>
        <charset val="1"/>
      </rPr>
      <t xml:space="preserve">Session Manager</t>
    </r>
    <r>
      <rPr>
        <sz val="10"/>
        <rFont val="Noto Sans CJK SC"/>
        <family val="2"/>
      </rPr>
      <t xml:space="preserve">で接続、パッチ一括適用</t>
    </r>
  </si>
  <si>
    <t xml:space="preserve">AWS CloudFormation</t>
  </si>
  <si>
    <r>
      <rPr>
        <sz val="10"/>
        <rFont val="Noto Sans CJK SC"/>
        <family val="2"/>
      </rPr>
      <t xml:space="preserve">インフラをコード</t>
    </r>
    <r>
      <rPr>
        <sz val="10"/>
        <rFont val="Arial"/>
        <family val="0"/>
        <charset val="1"/>
      </rPr>
      <t xml:space="preserve">(YAML/JSON)</t>
    </r>
    <r>
      <rPr>
        <sz val="10"/>
        <rFont val="Noto Sans CJK SC"/>
        <family val="2"/>
      </rPr>
      <t xml:space="preserve">で定義し自動構築</t>
    </r>
    <r>
      <rPr>
        <sz val="10"/>
        <rFont val="Arial"/>
        <family val="0"/>
        <charset val="1"/>
      </rPr>
      <t xml:space="preserve">(IaC)</t>
    </r>
  </si>
  <si>
    <r>
      <rPr>
        <sz val="10"/>
        <rFont val="Noto Sans CJK SC"/>
        <family val="2"/>
      </rPr>
      <t xml:space="preserve">同一環境の繰り返し構築。</t>
    </r>
    <r>
      <rPr>
        <sz val="10"/>
        <rFont val="Arial"/>
        <family val="0"/>
        <charset val="1"/>
      </rPr>
      <t xml:space="preserve">StackSets</t>
    </r>
    <r>
      <rPr>
        <sz val="10"/>
        <rFont val="Noto Sans CJK SC"/>
        <family val="2"/>
      </rPr>
      <t xml:space="preserve">で複数アカウント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リージョン展開</t>
    </r>
  </si>
  <si>
    <t xml:space="preserve">AWS Trusted Advisor</t>
  </si>
  <si>
    <t xml:space="preserve">コスト・パフォーマンス・セキュリティ・耐障害性などのベストプラクティスをチェック</t>
  </si>
  <si>
    <t xml:space="preserve">コスト最適化や制限値の確認</t>
  </si>
  <si>
    <t xml:space="preserve">AWS Control Tower</t>
  </si>
  <si>
    <r>
      <rPr>
        <sz val="10"/>
        <rFont val="Noto Sans CJK SC"/>
        <family val="2"/>
      </rPr>
      <t xml:space="preserve">ベストプラクティスに沿ったマルチアカウント環境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ランディングゾーン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を自動セットアップ</t>
    </r>
  </si>
  <si>
    <t xml:space="preserve">マルチアカウント環境の迅速な構築とガードレール</t>
  </si>
  <si>
    <t xml:space="preserve">AWS Health Dashboard</t>
  </si>
  <si>
    <r>
      <rPr>
        <sz val="10"/>
        <rFont val="Arial"/>
        <family val="0"/>
        <charset val="1"/>
      </rPr>
      <t xml:space="preserve">AWS</t>
    </r>
    <r>
      <rPr>
        <sz val="10"/>
        <rFont val="Noto Sans CJK SC"/>
        <family val="2"/>
      </rPr>
      <t xml:space="preserve">サービスの障害やメンテナンスの影響を通知</t>
    </r>
  </si>
  <si>
    <t xml:space="preserve">自アカウントに影響するイベントの把握</t>
  </si>
  <si>
    <t xml:space="preserve">AWS Compute Optimizer</t>
  </si>
  <si>
    <r>
      <rPr>
        <sz val="10"/>
        <rFont val="Noto Sans CJK SC"/>
        <family val="2"/>
      </rPr>
      <t xml:space="preserve">利用状況から</t>
    </r>
    <r>
      <rPr>
        <sz val="10"/>
        <rFont val="Arial"/>
        <family val="0"/>
        <charset val="1"/>
      </rPr>
      <t xml:space="preserve">EC2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EBS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Lambda</t>
    </r>
    <r>
      <rPr>
        <sz val="10"/>
        <rFont val="Noto Sans CJK SC"/>
        <family val="2"/>
      </rPr>
      <t xml:space="preserve">等の最適なサイズを推奨</t>
    </r>
  </si>
  <si>
    <t xml:space="preserve">ライトサイジング</t>
  </si>
  <si>
    <t xml:space="preserve">移行</t>
  </si>
  <si>
    <t xml:space="preserve">AWS DMS</t>
  </si>
  <si>
    <r>
      <rPr>
        <sz val="10"/>
        <rFont val="Arial"/>
        <family val="0"/>
        <charset val="1"/>
      </rPr>
      <t xml:space="preserve">Database Migration Service</t>
    </r>
    <r>
      <rPr>
        <sz val="10"/>
        <rFont val="Noto Sans CJK SC"/>
        <family val="2"/>
      </rPr>
      <t xml:space="preserve">。最小限のダウンタイムで</t>
    </r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を移行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同種・異種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</si>
  <si>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オンプレ</t>
    </r>
    <r>
      <rPr>
        <sz val="10"/>
        <rFont val="Arial"/>
        <family val="0"/>
        <charset val="1"/>
      </rPr>
      <t xml:space="preserve">DB→RDS/Aurora</t>
    </r>
    <r>
      <rPr>
        <sz val="10"/>
        <rFont val="Noto Sans CJK SC"/>
        <family val="2"/>
      </rPr>
      <t xml:space="preserve">の移行。継続的レプリケーション</t>
    </r>
  </si>
  <si>
    <t xml:space="preserve">AWS SCT</t>
  </si>
  <si>
    <r>
      <rPr>
        <sz val="10"/>
        <rFont val="Arial"/>
        <family val="0"/>
        <charset val="1"/>
      </rPr>
      <t xml:space="preserve">Schema Conversion Tool</t>
    </r>
    <r>
      <rPr>
        <sz val="10"/>
        <rFont val="Noto Sans CJK SC"/>
        <family val="2"/>
      </rPr>
      <t xml:space="preserve">。異種</t>
    </r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間のスキーマ変換</t>
    </r>
  </si>
  <si>
    <r>
      <rPr>
        <sz val="10"/>
        <rFont val="Arial"/>
        <family val="0"/>
        <charset val="1"/>
      </rPr>
      <t xml:space="preserve">Oracle→Aurora</t>
    </r>
    <r>
      <rPr>
        <sz val="10"/>
        <rFont val="Noto Sans CJK SC"/>
        <family val="2"/>
      </rPr>
      <t xml:space="preserve">など異種移行では</t>
    </r>
    <r>
      <rPr>
        <sz val="10"/>
        <rFont val="Arial"/>
        <family val="0"/>
        <charset val="1"/>
      </rPr>
      <t xml:space="preserve">DMS</t>
    </r>
    <r>
      <rPr>
        <sz val="10"/>
        <rFont val="Noto Sans CJK SC"/>
        <family val="2"/>
      </rPr>
      <t xml:space="preserve">とセットで使う</t>
    </r>
  </si>
  <si>
    <t xml:space="preserve">AWS Application Migration Service</t>
  </si>
  <si>
    <r>
      <rPr>
        <sz val="10"/>
        <rFont val="Noto Sans CJK SC"/>
        <family val="2"/>
      </rPr>
      <t xml:space="preserve">サーバーをそのまま</t>
    </r>
    <r>
      <rPr>
        <sz val="10"/>
        <rFont val="Arial"/>
        <family val="0"/>
        <charset val="1"/>
      </rPr>
      <t xml:space="preserve">AWS</t>
    </r>
    <r>
      <rPr>
        <sz val="10"/>
        <rFont val="Noto Sans CJK SC"/>
        <family val="2"/>
      </rPr>
      <t xml:space="preserve">へリホスト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リフト</t>
    </r>
    <r>
      <rPr>
        <sz val="10"/>
        <rFont val="Arial"/>
        <family val="0"/>
        <charset val="1"/>
      </rPr>
      <t xml:space="preserve">&amp;</t>
    </r>
    <r>
      <rPr>
        <sz val="10"/>
        <rFont val="Noto Sans CJK SC"/>
        <family val="2"/>
      </rPr>
      <t xml:space="preserve">シフト</t>
    </r>
    <r>
      <rPr>
        <sz val="10"/>
        <rFont val="Arial"/>
        <family val="0"/>
        <charset val="1"/>
      </rPr>
      <t xml:space="preserve">)</t>
    </r>
  </si>
  <si>
    <t xml:space="preserve">オンプレサーバーの最小変更での移行</t>
  </si>
  <si>
    <r>
      <rPr>
        <b val="true"/>
        <sz val="10"/>
        <rFont val="Noto Sans CJK SC"/>
        <family val="2"/>
      </rPr>
      <t xml:space="preserve">移行戦略</t>
    </r>
    <r>
      <rPr>
        <b val="true"/>
        <sz val="10"/>
        <rFont val="Arial"/>
        <family val="0"/>
        <charset val="1"/>
      </rPr>
      <t xml:space="preserve">(7R)</t>
    </r>
  </si>
  <si>
    <r>
      <rPr>
        <sz val="10"/>
        <rFont val="Noto Sans CJK SC"/>
        <family val="2"/>
      </rPr>
      <t xml:space="preserve">リホスト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リプラットフォーム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リファクタリング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リパーチェス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リタイア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保持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リロケート</t>
    </r>
  </si>
  <si>
    <t xml:space="preserve">要件に合った移行アプローチの選択</t>
  </si>
  <si>
    <t xml:space="preserve">コスト管理</t>
  </si>
  <si>
    <t xml:space="preserve">AWS Cost Explorer</t>
  </si>
  <si>
    <t xml:space="preserve">コストと使用量の可視化・分析・予測</t>
  </si>
  <si>
    <r>
      <rPr>
        <sz val="10"/>
        <rFont val="Noto Sans CJK SC"/>
        <family val="2"/>
      </rPr>
      <t xml:space="preserve">コストの傾向分析・</t>
    </r>
    <r>
      <rPr>
        <sz val="10"/>
        <rFont val="Arial"/>
        <family val="0"/>
        <charset val="1"/>
      </rPr>
      <t xml:space="preserve">RI</t>
    </r>
    <r>
      <rPr>
        <sz val="10"/>
        <rFont val="Noto Sans CJK SC"/>
        <family val="2"/>
      </rPr>
      <t xml:space="preserve">の推奨</t>
    </r>
  </si>
  <si>
    <t xml:space="preserve">AWS Budgets</t>
  </si>
  <si>
    <t xml:space="preserve">予算を設定し、超過見込み時にアラート</t>
  </si>
  <si>
    <t xml:space="preserve">予算超過の通知</t>
  </si>
  <si>
    <t xml:space="preserve">コスト配分タグ</t>
  </si>
  <si>
    <t xml:space="preserve">タグでコストを部門・プロジェクト別に集計</t>
  </si>
  <si>
    <t xml:space="preserve">部門別の課金把握</t>
  </si>
  <si>
    <t xml:space="preserve">データ転送料金</t>
  </si>
  <si>
    <r>
      <rPr>
        <sz val="10"/>
        <rFont val="Noto Sans CJK SC"/>
        <family val="2"/>
      </rPr>
      <t xml:space="preserve">インバウンドは無料、アウトバウンドや</t>
    </r>
    <r>
      <rPr>
        <sz val="10"/>
        <rFont val="Arial"/>
        <family val="0"/>
        <charset val="1"/>
      </rPr>
      <t xml:space="preserve">AZ</t>
    </r>
    <r>
      <rPr>
        <sz val="10"/>
        <rFont val="Noto Sans CJK SC"/>
        <family val="2"/>
      </rPr>
      <t xml:space="preserve">間・リージョン間通信は有料</t>
    </r>
  </si>
  <si>
    <r>
      <rPr>
        <sz val="10"/>
        <rFont val="Noto Sans CJK SC"/>
        <family val="2"/>
      </rPr>
      <t xml:space="preserve">同一</t>
    </r>
    <r>
      <rPr>
        <sz val="10"/>
        <rFont val="Arial"/>
        <family val="0"/>
        <charset val="1"/>
      </rPr>
      <t xml:space="preserve">AZ</t>
    </r>
    <r>
      <rPr>
        <sz val="10"/>
        <rFont val="Noto Sans CJK SC"/>
        <family val="2"/>
      </rPr>
      <t xml:space="preserve">内配置・</t>
    </r>
    <r>
      <rPr>
        <sz val="10"/>
        <rFont val="Arial"/>
        <family val="0"/>
        <charset val="1"/>
      </rPr>
      <t xml:space="preserve">VPC</t>
    </r>
    <r>
      <rPr>
        <sz val="10"/>
        <rFont val="Noto Sans CJK SC"/>
        <family val="2"/>
      </rPr>
      <t xml:space="preserve">エンドポイント・</t>
    </r>
    <r>
      <rPr>
        <sz val="10"/>
        <rFont val="Arial"/>
        <family val="0"/>
        <charset val="1"/>
      </rPr>
      <t xml:space="preserve">CloudFront</t>
    </r>
    <r>
      <rPr>
        <sz val="10"/>
        <rFont val="Noto Sans CJK SC"/>
        <family val="2"/>
      </rPr>
      <t xml:space="preserve">で転送コスト削減</t>
    </r>
  </si>
  <si>
    <t xml:space="preserve">AI/ML</t>
  </si>
  <si>
    <t xml:space="preserve">Amazon Bedrock</t>
  </si>
  <si>
    <r>
      <rPr>
        <sz val="10"/>
        <rFont val="Noto Sans CJK SC"/>
        <family val="2"/>
      </rPr>
      <t xml:space="preserve">主要な基盤モデルを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で利用できる生成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サービス</t>
    </r>
  </si>
  <si>
    <r>
      <rPr>
        <sz val="10"/>
        <rFont val="Noto Sans CJK SC"/>
        <family val="2"/>
      </rPr>
      <t xml:space="preserve">生成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アプリの構築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近年出題あり</t>
    </r>
    <r>
      <rPr>
        <sz val="10"/>
        <rFont val="Arial"/>
        <family val="0"/>
        <charset val="1"/>
      </rPr>
      <t xml:space="preserve">)</t>
    </r>
  </si>
  <si>
    <t xml:space="preserve">Amazon SageMaker AI</t>
  </si>
  <si>
    <t xml:space="preserve">機械学習モデルの構築・学習・デプロイ</t>
  </si>
  <si>
    <r>
      <rPr>
        <sz val="10"/>
        <rFont val="Noto Sans CJK SC"/>
        <family val="2"/>
      </rPr>
      <t xml:space="preserve">独自</t>
    </r>
    <r>
      <rPr>
        <sz val="10"/>
        <rFont val="Arial"/>
        <family val="0"/>
        <charset val="1"/>
      </rPr>
      <t xml:space="preserve">ML</t>
    </r>
    <r>
      <rPr>
        <sz val="10"/>
        <rFont val="Noto Sans CJK SC"/>
        <family val="2"/>
      </rPr>
      <t xml:space="preserve">モデルの開発</t>
    </r>
  </si>
  <si>
    <t xml:space="preserve">Amazon Rekognition</t>
  </si>
  <si>
    <r>
      <rPr>
        <sz val="10"/>
        <rFont val="Noto Sans CJK SC"/>
        <family val="2"/>
      </rPr>
      <t xml:space="preserve">画像・動画分析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物体・顔検出、不適切コンテンツ検出</t>
    </r>
    <r>
      <rPr>
        <sz val="10"/>
        <rFont val="Arial"/>
        <family val="0"/>
        <charset val="1"/>
      </rPr>
      <t xml:space="preserve">)</t>
    </r>
  </si>
  <si>
    <t xml:space="preserve">画像のモデレーション</t>
  </si>
  <si>
    <t xml:space="preserve">Amazon Comprehend / Textract / Transcribe / Translate / Polly</t>
  </si>
  <si>
    <r>
      <rPr>
        <sz val="10"/>
        <rFont val="Noto Sans CJK SC"/>
        <family val="2"/>
      </rPr>
      <t xml:space="preserve">自然言語処理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文書からのテキスト抽出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音声→テキスト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翻訳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テキスト→音声</t>
    </r>
  </si>
  <si>
    <r>
      <rPr>
        <sz val="10"/>
        <rFont val="Noto Sans CJK SC"/>
        <family val="2"/>
      </rPr>
      <t xml:space="preserve">用途に合う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サービスの選択</t>
    </r>
  </si>
  <si>
    <t xml:space="preserve">設計原則</t>
  </si>
  <si>
    <r>
      <rPr>
        <b val="true"/>
        <sz val="10"/>
        <rFont val="Arial"/>
        <family val="0"/>
        <charset val="1"/>
      </rPr>
      <t xml:space="preserve">AWS Well-Architected </t>
    </r>
    <r>
      <rPr>
        <b val="true"/>
        <sz val="10"/>
        <rFont val="Noto Sans CJK SC"/>
        <family val="2"/>
      </rPr>
      <t xml:space="preserve">フレームワーク</t>
    </r>
  </si>
  <si>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つの柱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運用上の優秀性、セキュリティ、信頼性、パフォーマンス効率、コスト最適化、持続可能性</t>
    </r>
  </si>
  <si>
    <t xml:space="preserve">設計判断の拠り所</t>
  </si>
  <si>
    <r>
      <rPr>
        <b val="true"/>
        <sz val="10"/>
        <rFont val="Noto Sans CJK SC"/>
        <family val="2"/>
      </rPr>
      <t xml:space="preserve">リージョン </t>
    </r>
    <r>
      <rPr>
        <b val="true"/>
        <sz val="10"/>
        <rFont val="Arial"/>
        <family val="0"/>
        <charset val="1"/>
      </rPr>
      <t xml:space="preserve">/ AZ / </t>
    </r>
    <r>
      <rPr>
        <b val="true"/>
        <sz val="10"/>
        <rFont val="Noto Sans CJK SC"/>
        <family val="2"/>
      </rPr>
      <t xml:space="preserve">エッジロケーション</t>
    </r>
  </si>
  <si>
    <r>
      <rPr>
        <sz val="10"/>
        <rFont val="Noto Sans CJK SC"/>
        <family val="2"/>
      </rPr>
      <t xml:space="preserve">リージョンは地理的エリア、</t>
    </r>
    <r>
      <rPr>
        <sz val="10"/>
        <rFont val="Arial"/>
        <family val="0"/>
        <charset val="1"/>
      </rPr>
      <t xml:space="preserve">AZ</t>
    </r>
    <r>
      <rPr>
        <sz val="10"/>
        <rFont val="Noto Sans CJK SC"/>
        <family val="2"/>
      </rPr>
      <t xml:space="preserve">はリージョン内の独立したデータセンター群、エッジは</t>
    </r>
    <r>
      <rPr>
        <sz val="10"/>
        <rFont val="Arial"/>
        <family val="0"/>
        <charset val="1"/>
      </rPr>
      <t xml:space="preserve">CDN</t>
    </r>
    <r>
      <rPr>
        <sz val="10"/>
        <rFont val="Noto Sans CJK SC"/>
        <family val="2"/>
      </rPr>
      <t xml:space="preserve">拠点</t>
    </r>
  </si>
  <si>
    <r>
      <rPr>
        <sz val="10"/>
        <rFont val="Noto Sans CJK SC"/>
        <family val="2"/>
      </rPr>
      <t xml:space="preserve">高可用性はマルチ</t>
    </r>
    <r>
      <rPr>
        <sz val="10"/>
        <rFont val="Arial"/>
        <family val="0"/>
        <charset val="1"/>
      </rPr>
      <t xml:space="preserve">AZ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DR</t>
    </r>
    <r>
      <rPr>
        <sz val="10"/>
        <rFont val="Noto Sans CJK SC"/>
        <family val="2"/>
      </rPr>
      <t xml:space="preserve">・規制対応はマルチリージョン</t>
    </r>
  </si>
  <si>
    <t xml:space="preserve">RPO / RTO</t>
  </si>
  <si>
    <r>
      <rPr>
        <sz val="10"/>
        <rFont val="Arial"/>
        <family val="0"/>
        <charset val="1"/>
      </rPr>
      <t xml:space="preserve">RPO:</t>
    </r>
    <r>
      <rPr>
        <sz val="10"/>
        <rFont val="Noto Sans CJK SC"/>
        <family val="2"/>
      </rPr>
      <t xml:space="preserve">許容できるデータ損失の時間幅、</t>
    </r>
    <r>
      <rPr>
        <sz val="10"/>
        <rFont val="Arial"/>
        <family val="0"/>
        <charset val="1"/>
      </rPr>
      <t xml:space="preserve">RTO:</t>
    </r>
    <r>
      <rPr>
        <sz val="10"/>
        <rFont val="Noto Sans CJK SC"/>
        <family val="2"/>
      </rPr>
      <t xml:space="preserve">復旧までの許容時間</t>
    </r>
  </si>
  <si>
    <r>
      <rPr>
        <sz val="10"/>
        <rFont val="Noto Sans CJK SC"/>
        <family val="2"/>
      </rPr>
      <t xml:space="preserve">要件の数値から</t>
    </r>
    <r>
      <rPr>
        <sz val="10"/>
        <rFont val="Arial"/>
        <family val="0"/>
        <charset val="1"/>
      </rPr>
      <t xml:space="preserve">DR</t>
    </r>
    <r>
      <rPr>
        <sz val="10"/>
        <rFont val="Noto Sans CJK SC"/>
        <family val="2"/>
      </rPr>
      <t xml:space="preserve">戦略を選ぶ</t>
    </r>
  </si>
  <si>
    <r>
      <rPr>
        <b val="true"/>
        <sz val="10"/>
        <rFont val="Arial"/>
        <family val="0"/>
        <charset val="1"/>
      </rPr>
      <t xml:space="preserve">DR</t>
    </r>
    <r>
      <rPr>
        <b val="true"/>
        <sz val="10"/>
        <rFont val="Noto Sans CJK SC"/>
        <family val="2"/>
      </rPr>
      <t xml:space="preserve">戦略</t>
    </r>
  </si>
  <si>
    <r>
      <rPr>
        <sz val="10"/>
        <rFont val="Noto Sans CJK SC"/>
        <family val="2"/>
      </rPr>
      <t xml:space="preserve">バックアップ</t>
    </r>
    <r>
      <rPr>
        <sz val="10"/>
        <rFont val="Arial"/>
        <family val="0"/>
        <charset val="1"/>
      </rPr>
      <t xml:space="preserve">&amp;</t>
    </r>
    <r>
      <rPr>
        <sz val="10"/>
        <rFont val="Noto Sans CJK SC"/>
        <family val="2"/>
      </rPr>
      <t xml:space="preserve">リストア → パイロットライト → ウォームスタンバイ → マルチサイト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アクティブ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アクティブ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。右ほど高コスト・短</t>
    </r>
    <r>
      <rPr>
        <sz val="10"/>
        <rFont val="Arial"/>
        <family val="0"/>
        <charset val="1"/>
      </rPr>
      <t xml:space="preserve">RTO</t>
    </r>
  </si>
  <si>
    <r>
      <rPr>
        <sz val="10"/>
        <rFont val="Arial"/>
        <family val="0"/>
        <charset val="1"/>
      </rPr>
      <t xml:space="preserve">RPO/RTO</t>
    </r>
    <r>
      <rPr>
        <sz val="10"/>
        <rFont val="Noto Sans CJK SC"/>
        <family val="2"/>
      </rPr>
      <t xml:space="preserve">とコストのバランスで選択</t>
    </r>
  </si>
  <si>
    <r>
      <rPr>
        <b val="true"/>
        <sz val="10"/>
        <rFont val="Noto Sans CJK SC"/>
        <family val="2"/>
      </rPr>
      <t xml:space="preserve">疎結合</t>
    </r>
    <r>
      <rPr>
        <b val="true"/>
        <sz val="10"/>
        <rFont val="Arial"/>
        <family val="0"/>
        <charset val="1"/>
      </rPr>
      <t xml:space="preserve">(Decoupling)</t>
    </r>
  </si>
  <si>
    <r>
      <rPr>
        <sz val="10"/>
        <rFont val="Arial"/>
        <family val="0"/>
        <charset val="1"/>
      </rPr>
      <t xml:space="preserve">SQS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SNS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EventBridge</t>
    </r>
    <r>
      <rPr>
        <sz val="10"/>
        <rFont val="Noto Sans CJK SC"/>
        <family val="2"/>
      </rPr>
      <t xml:space="preserve">でコンポーネント間の依存を減らす</t>
    </r>
  </si>
  <si>
    <t xml:space="preserve">スパイクへの耐性・障害の影響範囲縮小</t>
  </si>
  <si>
    <t xml:space="preserve">ステートレス設計</t>
  </si>
  <si>
    <r>
      <rPr>
        <sz val="10"/>
        <rFont val="Noto Sans CJK SC"/>
        <family val="2"/>
      </rPr>
      <t xml:space="preserve">セッション情報を</t>
    </r>
    <r>
      <rPr>
        <sz val="10"/>
        <rFont val="Arial"/>
        <family val="0"/>
        <charset val="1"/>
      </rPr>
      <t xml:space="preserve">ElastiCache</t>
    </r>
    <r>
      <rPr>
        <sz val="10"/>
        <rFont val="Noto Sans CJK SC"/>
        <family val="2"/>
      </rPr>
      <t xml:space="preserve">や</t>
    </r>
    <r>
      <rPr>
        <sz val="10"/>
        <rFont val="Arial"/>
        <family val="0"/>
        <charset val="1"/>
      </rPr>
      <t xml:space="preserve">DynamoDB</t>
    </r>
    <r>
      <rPr>
        <sz val="10"/>
        <rFont val="Noto Sans CJK SC"/>
        <family val="2"/>
      </rPr>
      <t xml:space="preserve">に外出しし、サーバーを使い捨て可能にする</t>
    </r>
  </si>
  <si>
    <r>
      <rPr>
        <sz val="10"/>
        <rFont val="Arial"/>
        <family val="0"/>
        <charset val="1"/>
      </rPr>
      <t xml:space="preserve">Auto Scaling</t>
    </r>
    <r>
      <rPr>
        <sz val="10"/>
        <rFont val="Noto Sans CJK SC"/>
        <family val="2"/>
      </rPr>
      <t xml:space="preserve">での水平スケールの前提</t>
    </r>
  </si>
  <si>
    <t xml:space="preserve">責任共有モデル</t>
  </si>
  <si>
    <r>
      <rPr>
        <sz val="10"/>
        <rFont val="Arial"/>
        <family val="0"/>
        <charset val="1"/>
      </rPr>
      <t xml:space="preserve">AWS</t>
    </r>
    <r>
      <rPr>
        <sz val="10"/>
        <rFont val="Noto Sans CJK SC"/>
        <family val="2"/>
      </rPr>
      <t xml:space="preserve">はクラウド「の」セキュリティ、顧客はクラウド「における」セキュリティに責任を持つ</t>
    </r>
  </si>
  <si>
    <t xml:space="preserve">サービスごとに顧客が管理すべき範囲</t>
  </si>
  <si>
    <r>
      <rPr>
        <b val="true"/>
        <sz val="10"/>
        <rFont val="Noto Sans CJK SC"/>
        <family val="2"/>
      </rPr>
      <t xml:space="preserve">暗号化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保存時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Noto Sans CJK SC"/>
        <family val="2"/>
      </rPr>
      <t xml:space="preserve">転送時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</si>
  <si>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保存時</t>
    </r>
    <r>
      <rPr>
        <sz val="10"/>
        <rFont val="Arial"/>
        <family val="0"/>
        <charset val="1"/>
      </rPr>
      <t xml:space="preserve">:KMS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SSE-S3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SSE-KMS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SSE-C</t>
    </r>
    <r>
      <rPr>
        <sz val="10"/>
        <rFont val="Noto Sans CJK SC"/>
        <family val="2"/>
      </rPr>
      <t xml:space="preserve">、転送時</t>
    </r>
    <r>
      <rPr>
        <sz val="10"/>
        <rFont val="Arial"/>
        <family val="0"/>
        <charset val="1"/>
      </rPr>
      <t xml:space="preserve">:TLS/SSL</t>
    </r>
  </si>
  <si>
    <r>
      <rPr>
        <sz val="10"/>
        <rFont val="Noto Sans CJK SC"/>
        <family val="2"/>
      </rPr>
      <t xml:space="preserve">「キーの使用を監査したい」→</t>
    </r>
    <r>
      <rPr>
        <sz val="10"/>
        <rFont val="Arial"/>
        <family val="0"/>
        <charset val="1"/>
      </rPr>
      <t xml:space="preserve">SSE-KMS(CloudTrail</t>
    </r>
    <r>
      <rPr>
        <sz val="10"/>
        <rFont val="Noto Sans CJK SC"/>
        <family val="2"/>
      </rPr>
      <t xml:space="preserve">で記録</t>
    </r>
    <r>
      <rPr>
        <sz val="10"/>
        <rFont val="Arial"/>
        <family val="0"/>
        <charset val="1"/>
      </rPr>
      <t xml:space="preserve">)</t>
    </r>
  </si>
  <si>
    <t xml:space="preserve">サーバーレスアーキテクチャ</t>
  </si>
  <si>
    <r>
      <rPr>
        <sz val="10"/>
        <rFont val="Arial"/>
        <family val="0"/>
        <charset val="1"/>
      </rPr>
      <t xml:space="preserve">API Gateway + Lambda + DynamoDB + S3</t>
    </r>
    <r>
      <rPr>
        <sz val="10"/>
        <rFont val="Noto Sans CJK SC"/>
        <family val="2"/>
      </rPr>
      <t xml:space="preserve">などで管理不要・従量課金の構成</t>
    </r>
  </si>
  <si>
    <t xml:space="preserve">「運用負荷を最小に」という要件のとき有力</t>
  </si>
  <si>
    <t xml:space="preserve">分野別キーワード数と学習進捗</t>
  </si>
  <si>
    <t xml:space="preserve">キーワード数</t>
  </si>
  <si>
    <t xml:space="preserve">うち★★★</t>
  </si>
  <si>
    <t xml:space="preserve">◎ 説明できる</t>
  </si>
  <si>
    <t xml:space="preserve">○ なんとなく</t>
  </si>
  <si>
    <t xml:space="preserve">△ 要復習</t>
  </si>
  <si>
    <r>
      <rPr>
        <b val="true"/>
        <sz val="10"/>
        <color rgb="FFFFFFFF"/>
        <rFont val="Noto Sans CJK SC"/>
        <family val="2"/>
      </rPr>
      <t xml:space="preserve">習得率</t>
    </r>
    <r>
      <rPr>
        <b val="true"/>
        <sz val="10"/>
        <color rgb="FFFFFFFF"/>
        <rFont val="Arial"/>
        <family val="0"/>
        <charset val="1"/>
      </rPr>
      <t xml:space="preserve">(◎</t>
    </r>
    <r>
      <rPr>
        <b val="true"/>
        <sz val="10"/>
        <color rgb="FFFFFFFF"/>
        <rFont val="Noto Sans CJK SC"/>
        <family val="2"/>
      </rPr>
      <t xml:space="preserve">の割合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</si>
  <si>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合計</t>
  </si>
  <si>
    <t xml:space="preserve">※ 数値は「キーワード一覧」シートの分野・重要度・理解度から自動計算されます。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</si>
</sst>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</font>
    <font>
      <b val="true"/>
      <sz val="10"/>
      <name val="Arial"/>
      <family val="0"/>
      <charset val="1"/>
    </font>
    <font>
      <sz val="10"/>
      <color rgb="FFC55A11"/>
      <name val="Arial"/>
      <family val="0"/>
      <charset val="1"/>
    </font>
    <font>
      <b val="true"/>
      <sz val="10"/>
      <name val="Noto Sans CJK SC"/>
      <family val="2"/>
    </font>
    <font>
      <b val="true"/>
      <sz val="13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232F3E"/>
        <bgColor rgb="FF333300"/>
      </patternFill>
    </fill>
    <fill>
      <patternFill patternType="solid">
        <fgColor rgb="FFFFF9DB"/>
        <bgColor rgb="FFFDEBDD"/>
      </patternFill>
    </fill>
    <fill>
      <patternFill patternType="solid">
        <fgColor rgb="FFEDEDED"/>
        <bgColor rgb="FFFDEB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32F3E"/>
          <bgColor rgb="FF000000"/>
        </patternFill>
      </fill>
    </dxf>
    <dxf>
      <fill>
        <patternFill patternType="solid">
          <fgColor rgb="FFFDEBD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>
          <bgColor rgb="FFFDEBD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BD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32F3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60"/>
    <col collapsed="false" customWidth="true" hidden="false" outlineLevel="0" max="5" min="5" style="0" width="48"/>
    <col collapsed="false" customWidth="true" hidden="false" outlineLevel="0" max="6" min="6" style="0" width="8"/>
    <col collapsed="false" customWidth="true" hidden="false" outlineLevel="0" max="7" min="7" style="0" width="14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</row>
    <row r="5" customFormat="false" ht="29.85" hidden="false" customHeight="false" outlineLevel="0" collapsed="false">
      <c r="A5" s="5" t="n">
        <v>1</v>
      </c>
      <c r="B5" s="6" t="s">
        <v>9</v>
      </c>
      <c r="C5" s="7" t="s">
        <v>10</v>
      </c>
      <c r="D5" s="6" t="s">
        <v>11</v>
      </c>
      <c r="E5" s="6" t="s">
        <v>12</v>
      </c>
      <c r="F5" s="8" t="s">
        <v>13</v>
      </c>
      <c r="G5" s="9"/>
    </row>
    <row r="6" customFormat="false" ht="29.85" hidden="false" customHeight="false" outlineLevel="0" collapsed="false">
      <c r="A6" s="5" t="n">
        <v>2</v>
      </c>
      <c r="B6" s="6" t="s">
        <v>9</v>
      </c>
      <c r="C6" s="10" t="s">
        <v>14</v>
      </c>
      <c r="D6" s="6" t="s">
        <v>15</v>
      </c>
      <c r="E6" s="6" t="s">
        <v>16</v>
      </c>
      <c r="F6" s="8" t="s">
        <v>13</v>
      </c>
      <c r="G6" s="9"/>
    </row>
    <row r="7" customFormat="false" ht="29.85" hidden="false" customHeight="false" outlineLevel="0" collapsed="false">
      <c r="A7" s="5" t="n">
        <v>3</v>
      </c>
      <c r="B7" s="6" t="s">
        <v>9</v>
      </c>
      <c r="C7" s="10" t="s">
        <v>17</v>
      </c>
      <c r="D7" s="11" t="s">
        <v>18</v>
      </c>
      <c r="E7" s="6" t="s">
        <v>19</v>
      </c>
      <c r="F7" s="8" t="s">
        <v>13</v>
      </c>
      <c r="G7" s="9"/>
    </row>
    <row r="8" customFormat="false" ht="29.85" hidden="false" customHeight="false" outlineLevel="0" collapsed="false">
      <c r="A8" s="5" t="n">
        <v>4</v>
      </c>
      <c r="B8" s="6" t="s">
        <v>9</v>
      </c>
      <c r="C8" s="7" t="s">
        <v>20</v>
      </c>
      <c r="D8" s="11" t="s">
        <v>21</v>
      </c>
      <c r="E8" s="6" t="s">
        <v>22</v>
      </c>
      <c r="F8" s="8" t="s">
        <v>13</v>
      </c>
      <c r="G8" s="9"/>
    </row>
    <row r="9" customFormat="false" ht="29.85" hidden="false" customHeight="false" outlineLevel="0" collapsed="false">
      <c r="A9" s="5" t="n">
        <v>5</v>
      </c>
      <c r="B9" s="6" t="s">
        <v>9</v>
      </c>
      <c r="C9" s="10" t="s">
        <v>23</v>
      </c>
      <c r="D9" s="11" t="s">
        <v>24</v>
      </c>
      <c r="E9" s="6" t="s">
        <v>25</v>
      </c>
      <c r="F9" s="8" t="s">
        <v>13</v>
      </c>
      <c r="G9" s="9"/>
    </row>
    <row r="10" customFormat="false" ht="29.85" hidden="false" customHeight="false" outlineLevel="0" collapsed="false">
      <c r="A10" s="5" t="n">
        <v>6</v>
      </c>
      <c r="B10" s="6" t="s">
        <v>9</v>
      </c>
      <c r="C10" s="7" t="s">
        <v>26</v>
      </c>
      <c r="D10" s="6" t="s">
        <v>27</v>
      </c>
      <c r="E10" s="6" t="s">
        <v>28</v>
      </c>
      <c r="F10" s="8" t="s">
        <v>29</v>
      </c>
      <c r="G10" s="9"/>
    </row>
    <row r="11" customFormat="false" ht="29.85" hidden="false" customHeight="false" outlineLevel="0" collapsed="false">
      <c r="A11" s="5" t="n">
        <v>7</v>
      </c>
      <c r="B11" s="6" t="s">
        <v>9</v>
      </c>
      <c r="C11" s="10" t="s">
        <v>30</v>
      </c>
      <c r="D11" s="6" t="s">
        <v>31</v>
      </c>
      <c r="E11" s="11" t="s">
        <v>32</v>
      </c>
      <c r="F11" s="8" t="s">
        <v>29</v>
      </c>
      <c r="G11" s="9"/>
    </row>
    <row r="12" customFormat="false" ht="29.85" hidden="false" customHeight="false" outlineLevel="0" collapsed="false">
      <c r="A12" s="5" t="n">
        <v>8</v>
      </c>
      <c r="B12" s="6" t="s">
        <v>9</v>
      </c>
      <c r="C12" s="7" t="s">
        <v>33</v>
      </c>
      <c r="D12" s="6" t="s">
        <v>34</v>
      </c>
      <c r="E12" s="6" t="s">
        <v>35</v>
      </c>
      <c r="F12" s="8" t="s">
        <v>13</v>
      </c>
      <c r="G12" s="9"/>
    </row>
    <row r="13" customFormat="false" ht="29.85" hidden="false" customHeight="false" outlineLevel="0" collapsed="false">
      <c r="A13" s="5" t="n">
        <v>9</v>
      </c>
      <c r="B13" s="6" t="s">
        <v>9</v>
      </c>
      <c r="C13" s="10" t="s">
        <v>36</v>
      </c>
      <c r="D13" s="11" t="s">
        <v>37</v>
      </c>
      <c r="E13" s="6" t="s">
        <v>38</v>
      </c>
      <c r="F13" s="8" t="s">
        <v>39</v>
      </c>
      <c r="G13" s="9"/>
    </row>
    <row r="14" customFormat="false" ht="29.85" hidden="false" customHeight="false" outlineLevel="0" collapsed="false">
      <c r="A14" s="5" t="n">
        <v>10</v>
      </c>
      <c r="B14" s="6" t="s">
        <v>9</v>
      </c>
      <c r="C14" s="7" t="s">
        <v>40</v>
      </c>
      <c r="D14" s="11" t="s">
        <v>41</v>
      </c>
      <c r="E14" s="11" t="s">
        <v>42</v>
      </c>
      <c r="F14" s="8" t="s">
        <v>29</v>
      </c>
      <c r="G14" s="9"/>
    </row>
    <row r="15" customFormat="false" ht="29.85" hidden="false" customHeight="false" outlineLevel="0" collapsed="false">
      <c r="A15" s="5" t="n">
        <v>11</v>
      </c>
      <c r="B15" s="6" t="s">
        <v>9</v>
      </c>
      <c r="C15" s="7" t="s">
        <v>43</v>
      </c>
      <c r="D15" s="6" t="s">
        <v>44</v>
      </c>
      <c r="E15" s="6" t="s">
        <v>45</v>
      </c>
      <c r="F15" s="8" t="s">
        <v>29</v>
      </c>
      <c r="G15" s="9"/>
    </row>
    <row r="16" customFormat="false" ht="29.85" hidden="false" customHeight="false" outlineLevel="0" collapsed="false">
      <c r="A16" s="5" t="n">
        <v>12</v>
      </c>
      <c r="B16" s="6" t="s">
        <v>9</v>
      </c>
      <c r="C16" s="7" t="s">
        <v>46</v>
      </c>
      <c r="D16" s="6" t="s">
        <v>47</v>
      </c>
      <c r="E16" s="6" t="s">
        <v>48</v>
      </c>
      <c r="F16" s="8" t="s">
        <v>13</v>
      </c>
      <c r="G16" s="9"/>
    </row>
    <row r="17" customFormat="false" ht="29.85" hidden="false" customHeight="false" outlineLevel="0" collapsed="false">
      <c r="A17" s="5" t="n">
        <v>13</v>
      </c>
      <c r="B17" s="6" t="s">
        <v>9</v>
      </c>
      <c r="C17" s="7" t="s">
        <v>49</v>
      </c>
      <c r="D17" s="11" t="s">
        <v>50</v>
      </c>
      <c r="E17" s="6" t="s">
        <v>51</v>
      </c>
      <c r="F17" s="8" t="s">
        <v>29</v>
      </c>
      <c r="G17" s="9"/>
    </row>
    <row r="18" customFormat="false" ht="29.85" hidden="false" customHeight="false" outlineLevel="0" collapsed="false">
      <c r="A18" s="5" t="n">
        <v>14</v>
      </c>
      <c r="B18" s="6" t="s">
        <v>9</v>
      </c>
      <c r="C18" s="7" t="s">
        <v>52</v>
      </c>
      <c r="D18" s="6" t="s">
        <v>53</v>
      </c>
      <c r="E18" s="6" t="s">
        <v>54</v>
      </c>
      <c r="F18" s="8" t="s">
        <v>29</v>
      </c>
      <c r="G18" s="9"/>
    </row>
    <row r="19" customFormat="false" ht="29.85" hidden="false" customHeight="false" outlineLevel="0" collapsed="false">
      <c r="A19" s="5" t="n">
        <v>15</v>
      </c>
      <c r="B19" s="6" t="s">
        <v>9</v>
      </c>
      <c r="C19" s="7" t="s">
        <v>55</v>
      </c>
      <c r="D19" s="6" t="s">
        <v>56</v>
      </c>
      <c r="E19" s="6" t="s">
        <v>57</v>
      </c>
      <c r="F19" s="8" t="s">
        <v>13</v>
      </c>
      <c r="G19" s="9"/>
    </row>
    <row r="20" customFormat="false" ht="29.85" hidden="false" customHeight="false" outlineLevel="0" collapsed="false">
      <c r="A20" s="5" t="n">
        <v>16</v>
      </c>
      <c r="B20" s="6" t="s">
        <v>9</v>
      </c>
      <c r="C20" s="7" t="s">
        <v>58</v>
      </c>
      <c r="D20" s="6" t="s">
        <v>59</v>
      </c>
      <c r="E20" s="6" t="s">
        <v>60</v>
      </c>
      <c r="F20" s="8" t="s">
        <v>39</v>
      </c>
      <c r="G20" s="9"/>
    </row>
    <row r="21" customFormat="false" ht="29.85" hidden="false" customHeight="false" outlineLevel="0" collapsed="false">
      <c r="A21" s="5" t="n">
        <v>17</v>
      </c>
      <c r="B21" s="6" t="s">
        <v>9</v>
      </c>
      <c r="C21" s="7" t="s">
        <v>61</v>
      </c>
      <c r="D21" s="6" t="s">
        <v>62</v>
      </c>
      <c r="E21" s="11" t="s">
        <v>63</v>
      </c>
      <c r="F21" s="8" t="s">
        <v>39</v>
      </c>
      <c r="G21" s="9"/>
    </row>
    <row r="22" customFormat="false" ht="29.85" hidden="false" customHeight="false" outlineLevel="0" collapsed="false">
      <c r="A22" s="5" t="n">
        <v>18</v>
      </c>
      <c r="B22" s="6" t="s">
        <v>64</v>
      </c>
      <c r="C22" s="7" t="s">
        <v>65</v>
      </c>
      <c r="D22" s="6" t="s">
        <v>66</v>
      </c>
      <c r="E22" s="6" t="s">
        <v>67</v>
      </c>
      <c r="F22" s="8" t="s">
        <v>13</v>
      </c>
      <c r="G22" s="9"/>
    </row>
    <row r="23" customFormat="false" ht="29.85" hidden="false" customHeight="false" outlineLevel="0" collapsed="false">
      <c r="A23" s="5" t="n">
        <v>19</v>
      </c>
      <c r="B23" s="6" t="s">
        <v>64</v>
      </c>
      <c r="C23" s="7" t="s">
        <v>68</v>
      </c>
      <c r="D23" s="11" t="s">
        <v>69</v>
      </c>
      <c r="E23" s="6" t="s">
        <v>70</v>
      </c>
      <c r="F23" s="8" t="s">
        <v>13</v>
      </c>
      <c r="G23" s="9"/>
    </row>
    <row r="24" customFormat="false" ht="29.85" hidden="false" customHeight="false" outlineLevel="0" collapsed="false">
      <c r="A24" s="5" t="n">
        <v>20</v>
      </c>
      <c r="B24" s="6" t="s">
        <v>64</v>
      </c>
      <c r="C24" s="7" t="s">
        <v>71</v>
      </c>
      <c r="D24" s="6" t="s">
        <v>72</v>
      </c>
      <c r="E24" s="6" t="s">
        <v>73</v>
      </c>
      <c r="F24" s="8" t="s">
        <v>13</v>
      </c>
      <c r="G24" s="9"/>
    </row>
    <row r="25" customFormat="false" ht="15" hidden="false" customHeight="false" outlineLevel="0" collapsed="false">
      <c r="A25" s="5" t="n">
        <v>21</v>
      </c>
      <c r="B25" s="6" t="s">
        <v>64</v>
      </c>
      <c r="C25" s="7" t="s">
        <v>74</v>
      </c>
      <c r="D25" s="6" t="s">
        <v>75</v>
      </c>
      <c r="E25" s="6" t="s">
        <v>76</v>
      </c>
      <c r="F25" s="8" t="s">
        <v>13</v>
      </c>
      <c r="G25" s="9"/>
    </row>
    <row r="26" customFormat="false" ht="15" hidden="false" customHeight="false" outlineLevel="0" collapsed="false">
      <c r="A26" s="5" t="n">
        <v>22</v>
      </c>
      <c r="B26" s="6" t="s">
        <v>64</v>
      </c>
      <c r="C26" s="7" t="s">
        <v>77</v>
      </c>
      <c r="D26" s="6" t="s">
        <v>78</v>
      </c>
      <c r="E26" s="6" t="s">
        <v>79</v>
      </c>
      <c r="F26" s="8" t="s">
        <v>13</v>
      </c>
      <c r="G26" s="9"/>
    </row>
    <row r="27" customFormat="false" ht="29.85" hidden="false" customHeight="false" outlineLevel="0" collapsed="false">
      <c r="A27" s="5" t="n">
        <v>23</v>
      </c>
      <c r="B27" s="6" t="s">
        <v>64</v>
      </c>
      <c r="C27" s="7" t="s">
        <v>80</v>
      </c>
      <c r="D27" s="6" t="s">
        <v>81</v>
      </c>
      <c r="E27" s="11" t="s">
        <v>82</v>
      </c>
      <c r="F27" s="8" t="s">
        <v>29</v>
      </c>
      <c r="G27" s="9"/>
    </row>
    <row r="28" customFormat="false" ht="29.85" hidden="false" customHeight="false" outlineLevel="0" collapsed="false">
      <c r="A28" s="5" t="n">
        <v>24</v>
      </c>
      <c r="B28" s="6" t="s">
        <v>64</v>
      </c>
      <c r="C28" s="7" t="s">
        <v>83</v>
      </c>
      <c r="D28" s="11" t="s">
        <v>84</v>
      </c>
      <c r="E28" s="6" t="s">
        <v>85</v>
      </c>
      <c r="F28" s="8" t="s">
        <v>29</v>
      </c>
      <c r="G28" s="9"/>
    </row>
    <row r="29" customFormat="false" ht="29.85" hidden="false" customHeight="false" outlineLevel="0" collapsed="false">
      <c r="A29" s="5" t="n">
        <v>25</v>
      </c>
      <c r="B29" s="6" t="s">
        <v>64</v>
      </c>
      <c r="C29" s="7" t="s">
        <v>86</v>
      </c>
      <c r="D29" s="6" t="s">
        <v>87</v>
      </c>
      <c r="E29" s="6" t="s">
        <v>88</v>
      </c>
      <c r="F29" s="8" t="s">
        <v>29</v>
      </c>
      <c r="G29" s="9"/>
    </row>
    <row r="30" customFormat="false" ht="29.85" hidden="false" customHeight="false" outlineLevel="0" collapsed="false">
      <c r="A30" s="5" t="n">
        <v>26</v>
      </c>
      <c r="B30" s="6" t="s">
        <v>64</v>
      </c>
      <c r="C30" s="7" t="s">
        <v>89</v>
      </c>
      <c r="D30" s="11" t="s">
        <v>90</v>
      </c>
      <c r="E30" s="6" t="s">
        <v>91</v>
      </c>
      <c r="F30" s="8" t="s">
        <v>29</v>
      </c>
      <c r="G30" s="9"/>
    </row>
    <row r="31" customFormat="false" ht="29.85" hidden="false" customHeight="false" outlineLevel="0" collapsed="false">
      <c r="A31" s="5" t="n">
        <v>27</v>
      </c>
      <c r="B31" s="6" t="s">
        <v>64</v>
      </c>
      <c r="C31" s="10" t="s">
        <v>92</v>
      </c>
      <c r="D31" s="6" t="s">
        <v>93</v>
      </c>
      <c r="E31" s="6" t="s">
        <v>94</v>
      </c>
      <c r="F31" s="8" t="s">
        <v>39</v>
      </c>
      <c r="G31" s="9"/>
    </row>
    <row r="32" customFormat="false" ht="15" hidden="false" customHeight="false" outlineLevel="0" collapsed="false">
      <c r="A32" s="5" t="n">
        <v>28</v>
      </c>
      <c r="B32" s="6" t="s">
        <v>64</v>
      </c>
      <c r="C32" s="7" t="s">
        <v>95</v>
      </c>
      <c r="D32" s="6" t="s">
        <v>96</v>
      </c>
      <c r="E32" s="6" t="s">
        <v>97</v>
      </c>
      <c r="F32" s="8" t="s">
        <v>29</v>
      </c>
      <c r="G32" s="9"/>
    </row>
    <row r="33" customFormat="false" ht="29.85" hidden="false" customHeight="false" outlineLevel="0" collapsed="false">
      <c r="A33" s="5" t="n">
        <v>29</v>
      </c>
      <c r="B33" s="6" t="s">
        <v>64</v>
      </c>
      <c r="C33" s="7" t="s">
        <v>98</v>
      </c>
      <c r="D33" s="11" t="s">
        <v>99</v>
      </c>
      <c r="E33" s="11" t="s">
        <v>100</v>
      </c>
      <c r="F33" s="8" t="s">
        <v>13</v>
      </c>
      <c r="G33" s="9"/>
    </row>
    <row r="34" customFormat="false" ht="29.85" hidden="false" customHeight="false" outlineLevel="0" collapsed="false">
      <c r="A34" s="5" t="n">
        <v>30</v>
      </c>
      <c r="B34" s="6" t="s">
        <v>64</v>
      </c>
      <c r="C34" s="7" t="s">
        <v>101</v>
      </c>
      <c r="D34" s="11" t="s">
        <v>102</v>
      </c>
      <c r="E34" s="6" t="s">
        <v>103</v>
      </c>
      <c r="F34" s="8" t="s">
        <v>29</v>
      </c>
      <c r="G34" s="9"/>
    </row>
    <row r="35" customFormat="false" ht="15" hidden="false" customHeight="false" outlineLevel="0" collapsed="false">
      <c r="A35" s="5" t="n">
        <v>31</v>
      </c>
      <c r="B35" s="6" t="s">
        <v>64</v>
      </c>
      <c r="C35" s="7" t="s">
        <v>104</v>
      </c>
      <c r="D35" s="11" t="s">
        <v>105</v>
      </c>
      <c r="E35" s="6" t="s">
        <v>106</v>
      </c>
      <c r="F35" s="8" t="s">
        <v>39</v>
      </c>
      <c r="G35" s="9"/>
    </row>
    <row r="36" customFormat="false" ht="29.85" hidden="false" customHeight="false" outlineLevel="0" collapsed="false">
      <c r="A36" s="5" t="n">
        <v>32</v>
      </c>
      <c r="B36" s="6" t="s">
        <v>64</v>
      </c>
      <c r="C36" s="7" t="s">
        <v>107</v>
      </c>
      <c r="D36" s="11" t="s">
        <v>108</v>
      </c>
      <c r="E36" s="6" t="s">
        <v>109</v>
      </c>
      <c r="F36" s="8" t="s">
        <v>13</v>
      </c>
      <c r="G36" s="9"/>
    </row>
    <row r="37" customFormat="false" ht="23.85" hidden="false" customHeight="false" outlineLevel="0" collapsed="false">
      <c r="A37" s="5" t="n">
        <v>33</v>
      </c>
      <c r="B37" s="6" t="s">
        <v>64</v>
      </c>
      <c r="C37" s="7" t="s">
        <v>110</v>
      </c>
      <c r="D37" s="11" t="s">
        <v>111</v>
      </c>
      <c r="E37" s="11" t="s">
        <v>112</v>
      </c>
      <c r="F37" s="8" t="s">
        <v>29</v>
      </c>
      <c r="G37" s="9"/>
    </row>
    <row r="38" customFormat="false" ht="15" hidden="false" customHeight="false" outlineLevel="0" collapsed="false">
      <c r="A38" s="5" t="n">
        <v>34</v>
      </c>
      <c r="B38" s="6" t="s">
        <v>64</v>
      </c>
      <c r="C38" s="7" t="s">
        <v>113</v>
      </c>
      <c r="D38" s="11" t="s">
        <v>114</v>
      </c>
      <c r="E38" s="11" t="s">
        <v>115</v>
      </c>
      <c r="F38" s="8" t="s">
        <v>29</v>
      </c>
      <c r="G38" s="9"/>
    </row>
    <row r="39" customFormat="false" ht="29.85" hidden="false" customHeight="false" outlineLevel="0" collapsed="false">
      <c r="A39" s="5" t="n">
        <v>35</v>
      </c>
      <c r="B39" s="6" t="s">
        <v>64</v>
      </c>
      <c r="C39" s="7" t="s">
        <v>116</v>
      </c>
      <c r="D39" s="6" t="s">
        <v>117</v>
      </c>
      <c r="E39" s="6" t="s">
        <v>118</v>
      </c>
      <c r="F39" s="8" t="s">
        <v>29</v>
      </c>
      <c r="G39" s="9"/>
    </row>
    <row r="40" customFormat="false" ht="15" hidden="false" customHeight="false" outlineLevel="0" collapsed="false">
      <c r="A40" s="5" t="n">
        <v>36</v>
      </c>
      <c r="B40" s="6" t="s">
        <v>64</v>
      </c>
      <c r="C40" s="7" t="s">
        <v>119</v>
      </c>
      <c r="D40" s="6" t="s">
        <v>120</v>
      </c>
      <c r="E40" s="6" t="s">
        <v>121</v>
      </c>
      <c r="F40" s="8" t="s">
        <v>29</v>
      </c>
      <c r="G40" s="9"/>
    </row>
    <row r="41" customFormat="false" ht="29.85" hidden="false" customHeight="false" outlineLevel="0" collapsed="false">
      <c r="A41" s="5" t="n">
        <v>37</v>
      </c>
      <c r="B41" s="6" t="s">
        <v>64</v>
      </c>
      <c r="C41" s="7" t="s">
        <v>122</v>
      </c>
      <c r="D41" s="6" t="s">
        <v>123</v>
      </c>
      <c r="E41" s="11" t="s">
        <v>124</v>
      </c>
      <c r="F41" s="8" t="s">
        <v>29</v>
      </c>
      <c r="G41" s="9"/>
    </row>
    <row r="42" customFormat="false" ht="29.85" hidden="false" customHeight="false" outlineLevel="0" collapsed="false">
      <c r="A42" s="5" t="n">
        <v>38</v>
      </c>
      <c r="B42" s="6" t="s">
        <v>64</v>
      </c>
      <c r="C42" s="7" t="s">
        <v>125</v>
      </c>
      <c r="D42" s="6" t="s">
        <v>126</v>
      </c>
      <c r="E42" s="6" t="s">
        <v>127</v>
      </c>
      <c r="F42" s="8" t="s">
        <v>29</v>
      </c>
      <c r="G42" s="9"/>
    </row>
    <row r="43" customFormat="false" ht="29.85" hidden="false" customHeight="false" outlineLevel="0" collapsed="false">
      <c r="A43" s="5" t="n">
        <v>39</v>
      </c>
      <c r="B43" s="6" t="s">
        <v>128</v>
      </c>
      <c r="C43" s="7" t="s">
        <v>129</v>
      </c>
      <c r="D43" s="6" t="s">
        <v>130</v>
      </c>
      <c r="E43" s="11" t="s">
        <v>131</v>
      </c>
      <c r="F43" s="8" t="s">
        <v>13</v>
      </c>
      <c r="G43" s="9"/>
    </row>
    <row r="44" customFormat="false" ht="29.85" hidden="false" customHeight="false" outlineLevel="0" collapsed="false">
      <c r="A44" s="5" t="n">
        <v>40</v>
      </c>
      <c r="B44" s="6" t="s">
        <v>128</v>
      </c>
      <c r="C44" s="7" t="s">
        <v>132</v>
      </c>
      <c r="D44" s="6" t="s">
        <v>133</v>
      </c>
      <c r="E44" s="6" t="s">
        <v>134</v>
      </c>
      <c r="F44" s="8" t="s">
        <v>13</v>
      </c>
      <c r="G44" s="9"/>
    </row>
    <row r="45" customFormat="false" ht="15" hidden="false" customHeight="false" outlineLevel="0" collapsed="false">
      <c r="A45" s="5" t="n">
        <v>41</v>
      </c>
      <c r="B45" s="6" t="s">
        <v>128</v>
      </c>
      <c r="C45" s="7" t="s">
        <v>135</v>
      </c>
      <c r="D45" s="6" t="s">
        <v>136</v>
      </c>
      <c r="E45" s="6" t="s">
        <v>137</v>
      </c>
      <c r="F45" s="8" t="s">
        <v>13</v>
      </c>
      <c r="G45" s="9"/>
    </row>
    <row r="46" customFormat="false" ht="15" hidden="false" customHeight="false" outlineLevel="0" collapsed="false">
      <c r="A46" s="5" t="n">
        <v>42</v>
      </c>
      <c r="B46" s="6" t="s">
        <v>128</v>
      </c>
      <c r="C46" s="7" t="s">
        <v>138</v>
      </c>
      <c r="D46" s="11" t="s">
        <v>139</v>
      </c>
      <c r="E46" s="11" t="s">
        <v>140</v>
      </c>
      <c r="F46" s="8" t="s">
        <v>29</v>
      </c>
      <c r="G46" s="9"/>
    </row>
    <row r="47" customFormat="false" ht="29.85" hidden="false" customHeight="false" outlineLevel="0" collapsed="false">
      <c r="A47" s="5" t="n">
        <v>43</v>
      </c>
      <c r="B47" s="6" t="s">
        <v>128</v>
      </c>
      <c r="C47" s="7" t="s">
        <v>141</v>
      </c>
      <c r="D47" s="11" t="s">
        <v>142</v>
      </c>
      <c r="E47" s="6" t="s">
        <v>143</v>
      </c>
      <c r="F47" s="8" t="s">
        <v>13</v>
      </c>
      <c r="G47" s="9"/>
    </row>
    <row r="48" customFormat="false" ht="15" hidden="false" customHeight="false" outlineLevel="0" collapsed="false">
      <c r="A48" s="5" t="n">
        <v>44</v>
      </c>
      <c r="B48" s="6" t="s">
        <v>128</v>
      </c>
      <c r="C48" s="7" t="s">
        <v>144</v>
      </c>
      <c r="D48" s="6" t="s">
        <v>145</v>
      </c>
      <c r="E48" s="6" t="s">
        <v>146</v>
      </c>
      <c r="F48" s="8" t="s">
        <v>29</v>
      </c>
      <c r="G48" s="9"/>
    </row>
    <row r="49" customFormat="false" ht="15" hidden="false" customHeight="false" outlineLevel="0" collapsed="false">
      <c r="A49" s="5" t="n">
        <v>45</v>
      </c>
      <c r="B49" s="6" t="s">
        <v>128</v>
      </c>
      <c r="C49" s="7" t="s">
        <v>147</v>
      </c>
      <c r="D49" s="6" t="s">
        <v>148</v>
      </c>
      <c r="E49" s="6" t="s">
        <v>149</v>
      </c>
      <c r="F49" s="8" t="s">
        <v>29</v>
      </c>
      <c r="G49" s="9"/>
    </row>
    <row r="50" customFormat="false" ht="29.85" hidden="false" customHeight="false" outlineLevel="0" collapsed="false">
      <c r="A50" s="5" t="n">
        <v>46</v>
      </c>
      <c r="B50" s="6" t="s">
        <v>128</v>
      </c>
      <c r="C50" s="7" t="s">
        <v>150</v>
      </c>
      <c r="D50" s="6" t="s">
        <v>151</v>
      </c>
      <c r="E50" s="6" t="s">
        <v>152</v>
      </c>
      <c r="F50" s="8" t="s">
        <v>13</v>
      </c>
      <c r="G50" s="9"/>
    </row>
    <row r="51" customFormat="false" ht="15" hidden="false" customHeight="false" outlineLevel="0" collapsed="false">
      <c r="A51" s="5" t="n">
        <v>47</v>
      </c>
      <c r="B51" s="6" t="s">
        <v>128</v>
      </c>
      <c r="C51" s="7" t="s">
        <v>153</v>
      </c>
      <c r="D51" s="6" t="s">
        <v>154</v>
      </c>
      <c r="E51" s="6" t="s">
        <v>155</v>
      </c>
      <c r="F51" s="8" t="s">
        <v>29</v>
      </c>
      <c r="G51" s="9"/>
    </row>
    <row r="52" customFormat="false" ht="15" hidden="false" customHeight="false" outlineLevel="0" collapsed="false">
      <c r="A52" s="5" t="n">
        <v>48</v>
      </c>
      <c r="B52" s="6" t="s">
        <v>128</v>
      </c>
      <c r="C52" s="7" t="s">
        <v>156</v>
      </c>
      <c r="D52" s="11" t="s">
        <v>157</v>
      </c>
      <c r="E52" s="11" t="s">
        <v>158</v>
      </c>
      <c r="F52" s="8" t="s">
        <v>29</v>
      </c>
      <c r="G52" s="9"/>
    </row>
    <row r="53" customFormat="false" ht="15" hidden="false" customHeight="false" outlineLevel="0" collapsed="false">
      <c r="A53" s="5" t="n">
        <v>49</v>
      </c>
      <c r="B53" s="6" t="s">
        <v>128</v>
      </c>
      <c r="C53" s="7" t="s">
        <v>159</v>
      </c>
      <c r="D53" s="6" t="s">
        <v>160</v>
      </c>
      <c r="E53" s="6" t="s">
        <v>161</v>
      </c>
      <c r="F53" s="8" t="s">
        <v>29</v>
      </c>
      <c r="G53" s="9"/>
    </row>
    <row r="54" customFormat="false" ht="15" hidden="false" customHeight="false" outlineLevel="0" collapsed="false">
      <c r="A54" s="5" t="n">
        <v>50</v>
      </c>
      <c r="B54" s="6" t="s">
        <v>128</v>
      </c>
      <c r="C54" s="7" t="s">
        <v>162</v>
      </c>
      <c r="D54" s="6" t="s">
        <v>163</v>
      </c>
      <c r="E54" s="6" t="s">
        <v>164</v>
      </c>
      <c r="F54" s="8" t="s">
        <v>39</v>
      </c>
      <c r="G54" s="9"/>
    </row>
    <row r="55" customFormat="false" ht="29.85" hidden="false" customHeight="false" outlineLevel="0" collapsed="false">
      <c r="A55" s="5" t="n">
        <v>51</v>
      </c>
      <c r="B55" s="6" t="s">
        <v>128</v>
      </c>
      <c r="C55" s="7" t="s">
        <v>165</v>
      </c>
      <c r="D55" s="6" t="s">
        <v>166</v>
      </c>
      <c r="E55" s="11" t="s">
        <v>167</v>
      </c>
      <c r="F55" s="8" t="s">
        <v>13</v>
      </c>
      <c r="G55" s="9"/>
    </row>
    <row r="56" customFormat="false" ht="29.85" hidden="false" customHeight="false" outlineLevel="0" collapsed="false">
      <c r="A56" s="5" t="n">
        <v>52</v>
      </c>
      <c r="B56" s="6" t="s">
        <v>128</v>
      </c>
      <c r="C56" s="7" t="s">
        <v>168</v>
      </c>
      <c r="D56" s="6" t="s">
        <v>169</v>
      </c>
      <c r="E56" s="6" t="s">
        <v>170</v>
      </c>
      <c r="F56" s="8" t="s">
        <v>29</v>
      </c>
      <c r="G56" s="9"/>
    </row>
    <row r="57" customFormat="false" ht="15" hidden="false" customHeight="false" outlineLevel="0" collapsed="false">
      <c r="A57" s="5" t="n">
        <v>53</v>
      </c>
      <c r="B57" s="6" t="s">
        <v>128</v>
      </c>
      <c r="C57" s="7" t="s">
        <v>171</v>
      </c>
      <c r="D57" s="11" t="s">
        <v>172</v>
      </c>
      <c r="E57" s="11" t="s">
        <v>173</v>
      </c>
      <c r="F57" s="8" t="s">
        <v>39</v>
      </c>
      <c r="G57" s="9"/>
    </row>
    <row r="58" customFormat="false" ht="15" hidden="false" customHeight="false" outlineLevel="0" collapsed="false">
      <c r="A58" s="5" t="n">
        <v>54</v>
      </c>
      <c r="B58" s="6" t="s">
        <v>128</v>
      </c>
      <c r="C58" s="7" t="s">
        <v>174</v>
      </c>
      <c r="D58" s="6" t="s">
        <v>175</v>
      </c>
      <c r="E58" s="6" t="s">
        <v>176</v>
      </c>
      <c r="F58" s="8" t="s">
        <v>39</v>
      </c>
      <c r="G58" s="9"/>
    </row>
    <row r="59" customFormat="false" ht="15" hidden="false" customHeight="false" outlineLevel="0" collapsed="false">
      <c r="A59" s="5" t="n">
        <v>55</v>
      </c>
      <c r="B59" s="6" t="s">
        <v>128</v>
      </c>
      <c r="C59" s="7" t="s">
        <v>177</v>
      </c>
      <c r="D59" s="11" t="s">
        <v>178</v>
      </c>
      <c r="E59" s="11" t="s">
        <v>179</v>
      </c>
      <c r="F59" s="8" t="s">
        <v>39</v>
      </c>
      <c r="G59" s="9"/>
    </row>
    <row r="60" customFormat="false" ht="15" hidden="false" customHeight="false" outlineLevel="0" collapsed="false">
      <c r="A60" s="5" t="n">
        <v>56</v>
      </c>
      <c r="B60" s="6" t="s">
        <v>128</v>
      </c>
      <c r="C60" s="7" t="s">
        <v>180</v>
      </c>
      <c r="D60" s="6" t="s">
        <v>181</v>
      </c>
      <c r="E60" s="11" t="s">
        <v>182</v>
      </c>
      <c r="F60" s="8" t="s">
        <v>39</v>
      </c>
      <c r="G60" s="9"/>
    </row>
    <row r="61" customFormat="false" ht="29.85" hidden="false" customHeight="false" outlineLevel="0" collapsed="false">
      <c r="A61" s="5" t="n">
        <v>57</v>
      </c>
      <c r="B61" s="6" t="s">
        <v>128</v>
      </c>
      <c r="C61" s="7" t="s">
        <v>183</v>
      </c>
      <c r="D61" s="6" t="s">
        <v>184</v>
      </c>
      <c r="E61" s="6" t="s">
        <v>185</v>
      </c>
      <c r="F61" s="8" t="s">
        <v>39</v>
      </c>
      <c r="G61" s="9"/>
    </row>
    <row r="62" customFormat="false" ht="15" hidden="false" customHeight="false" outlineLevel="0" collapsed="false">
      <c r="A62" s="5" t="n">
        <v>58</v>
      </c>
      <c r="B62" s="6" t="s">
        <v>186</v>
      </c>
      <c r="C62" s="7" t="s">
        <v>187</v>
      </c>
      <c r="D62" s="11" t="s">
        <v>188</v>
      </c>
      <c r="E62" s="6" t="s">
        <v>189</v>
      </c>
      <c r="F62" s="8" t="s">
        <v>13</v>
      </c>
      <c r="G62" s="9"/>
    </row>
    <row r="63" customFormat="false" ht="29.85" hidden="false" customHeight="false" outlineLevel="0" collapsed="false">
      <c r="A63" s="5" t="n">
        <v>59</v>
      </c>
      <c r="B63" s="6" t="s">
        <v>186</v>
      </c>
      <c r="C63" s="10" t="s">
        <v>190</v>
      </c>
      <c r="D63" s="11" t="s">
        <v>191</v>
      </c>
      <c r="E63" s="11" t="s">
        <v>192</v>
      </c>
      <c r="F63" s="8" t="s">
        <v>13</v>
      </c>
      <c r="G63" s="9"/>
    </row>
    <row r="64" customFormat="false" ht="15" hidden="false" customHeight="false" outlineLevel="0" collapsed="false">
      <c r="A64" s="5" t="n">
        <v>60</v>
      </c>
      <c r="B64" s="6" t="s">
        <v>186</v>
      </c>
      <c r="C64" s="10" t="s">
        <v>193</v>
      </c>
      <c r="D64" s="11" t="s">
        <v>194</v>
      </c>
      <c r="E64" s="6" t="s">
        <v>195</v>
      </c>
      <c r="F64" s="8" t="s">
        <v>13</v>
      </c>
      <c r="G64" s="9"/>
    </row>
    <row r="65" customFormat="false" ht="29.85" hidden="false" customHeight="false" outlineLevel="0" collapsed="false">
      <c r="A65" s="5" t="n">
        <v>61</v>
      </c>
      <c r="B65" s="6" t="s">
        <v>186</v>
      </c>
      <c r="C65" s="7" t="s">
        <v>196</v>
      </c>
      <c r="D65" s="6" t="s">
        <v>197</v>
      </c>
      <c r="E65" s="6" t="s">
        <v>198</v>
      </c>
      <c r="F65" s="8" t="s">
        <v>13</v>
      </c>
      <c r="G65" s="9"/>
    </row>
    <row r="66" customFormat="false" ht="29.85" hidden="false" customHeight="false" outlineLevel="0" collapsed="false">
      <c r="A66" s="5" t="n">
        <v>62</v>
      </c>
      <c r="B66" s="6" t="s">
        <v>186</v>
      </c>
      <c r="C66" s="10" t="s">
        <v>199</v>
      </c>
      <c r="D66" s="6" t="s">
        <v>200</v>
      </c>
      <c r="E66" s="11" t="s">
        <v>201</v>
      </c>
      <c r="F66" s="8" t="s">
        <v>13</v>
      </c>
      <c r="G66" s="9"/>
    </row>
    <row r="67" customFormat="false" ht="29.85" hidden="false" customHeight="false" outlineLevel="0" collapsed="false">
      <c r="A67" s="5" t="n">
        <v>63</v>
      </c>
      <c r="B67" s="6" t="s">
        <v>186</v>
      </c>
      <c r="C67" s="10" t="s">
        <v>202</v>
      </c>
      <c r="D67" s="6" t="s">
        <v>203</v>
      </c>
      <c r="E67" s="6" t="s">
        <v>204</v>
      </c>
      <c r="F67" s="8" t="s">
        <v>13</v>
      </c>
      <c r="G67" s="9"/>
    </row>
    <row r="68" customFormat="false" ht="29.85" hidden="false" customHeight="false" outlineLevel="0" collapsed="false">
      <c r="A68" s="5" t="n">
        <v>64</v>
      </c>
      <c r="B68" s="6" t="s">
        <v>186</v>
      </c>
      <c r="C68" s="7" t="s">
        <v>205</v>
      </c>
      <c r="D68" s="11" t="s">
        <v>206</v>
      </c>
      <c r="E68" s="6" t="s">
        <v>207</v>
      </c>
      <c r="F68" s="8" t="s">
        <v>29</v>
      </c>
      <c r="G68" s="9"/>
    </row>
    <row r="69" customFormat="false" ht="15" hidden="false" customHeight="false" outlineLevel="0" collapsed="false">
      <c r="A69" s="5" t="n">
        <v>65</v>
      </c>
      <c r="B69" s="6" t="s">
        <v>186</v>
      </c>
      <c r="C69" s="7" t="s">
        <v>208</v>
      </c>
      <c r="D69" s="6" t="s">
        <v>209</v>
      </c>
      <c r="E69" s="11" t="s">
        <v>210</v>
      </c>
      <c r="F69" s="8" t="s">
        <v>13</v>
      </c>
      <c r="G69" s="9"/>
    </row>
    <row r="70" customFormat="false" ht="29.85" hidden="false" customHeight="false" outlineLevel="0" collapsed="false">
      <c r="A70" s="5" t="n">
        <v>66</v>
      </c>
      <c r="B70" s="6" t="s">
        <v>186</v>
      </c>
      <c r="C70" s="7" t="s">
        <v>211</v>
      </c>
      <c r="D70" s="11" t="s">
        <v>212</v>
      </c>
      <c r="E70" s="6" t="s">
        <v>213</v>
      </c>
      <c r="F70" s="8" t="s">
        <v>13</v>
      </c>
      <c r="G70" s="9"/>
    </row>
    <row r="71" customFormat="false" ht="29.85" hidden="false" customHeight="false" outlineLevel="0" collapsed="false">
      <c r="A71" s="5" t="n">
        <v>67</v>
      </c>
      <c r="B71" s="6" t="s">
        <v>186</v>
      </c>
      <c r="C71" s="7" t="s">
        <v>214</v>
      </c>
      <c r="D71" s="11" t="s">
        <v>215</v>
      </c>
      <c r="E71" s="6" t="s">
        <v>216</v>
      </c>
      <c r="F71" s="8" t="s">
        <v>13</v>
      </c>
      <c r="G71" s="9"/>
    </row>
    <row r="72" customFormat="false" ht="15" hidden="false" customHeight="false" outlineLevel="0" collapsed="false">
      <c r="A72" s="5" t="n">
        <v>68</v>
      </c>
      <c r="B72" s="6" t="s">
        <v>186</v>
      </c>
      <c r="C72" s="7" t="s">
        <v>217</v>
      </c>
      <c r="D72" s="6" t="s">
        <v>218</v>
      </c>
      <c r="E72" s="6" t="s">
        <v>219</v>
      </c>
      <c r="F72" s="8" t="s">
        <v>29</v>
      </c>
      <c r="G72" s="9"/>
    </row>
    <row r="73" customFormat="false" ht="29.85" hidden="false" customHeight="false" outlineLevel="0" collapsed="false">
      <c r="A73" s="5" t="n">
        <v>69</v>
      </c>
      <c r="B73" s="6" t="s">
        <v>186</v>
      </c>
      <c r="C73" s="7" t="s">
        <v>220</v>
      </c>
      <c r="D73" s="6" t="s">
        <v>221</v>
      </c>
      <c r="E73" s="6" t="s">
        <v>222</v>
      </c>
      <c r="F73" s="8" t="s">
        <v>13</v>
      </c>
      <c r="G73" s="9"/>
    </row>
    <row r="74" customFormat="false" ht="15" hidden="false" customHeight="false" outlineLevel="0" collapsed="false">
      <c r="A74" s="5" t="n">
        <v>70</v>
      </c>
      <c r="B74" s="6" t="s">
        <v>186</v>
      </c>
      <c r="C74" s="7" t="s">
        <v>223</v>
      </c>
      <c r="D74" s="11" t="s">
        <v>224</v>
      </c>
      <c r="E74" s="6" t="s">
        <v>225</v>
      </c>
      <c r="F74" s="8" t="s">
        <v>29</v>
      </c>
      <c r="G74" s="9"/>
    </row>
    <row r="75" customFormat="false" ht="15" hidden="false" customHeight="false" outlineLevel="0" collapsed="false">
      <c r="A75" s="5" t="n">
        <v>71</v>
      </c>
      <c r="B75" s="6" t="s">
        <v>186</v>
      </c>
      <c r="C75" s="7" t="s">
        <v>226</v>
      </c>
      <c r="D75" s="6" t="s">
        <v>227</v>
      </c>
      <c r="E75" s="6" t="s">
        <v>228</v>
      </c>
      <c r="F75" s="8" t="s">
        <v>39</v>
      </c>
      <c r="G75" s="9"/>
    </row>
    <row r="76" customFormat="false" ht="15" hidden="false" customHeight="false" outlineLevel="0" collapsed="false">
      <c r="A76" s="5" t="n">
        <v>72</v>
      </c>
      <c r="B76" s="6" t="s">
        <v>186</v>
      </c>
      <c r="C76" s="7" t="s">
        <v>229</v>
      </c>
      <c r="D76" s="6" t="s">
        <v>230</v>
      </c>
      <c r="E76" s="11" t="s">
        <v>231</v>
      </c>
      <c r="F76" s="8" t="s">
        <v>13</v>
      </c>
      <c r="G76" s="9"/>
    </row>
    <row r="77" customFormat="false" ht="29.85" hidden="false" customHeight="false" outlineLevel="0" collapsed="false">
      <c r="A77" s="5" t="n">
        <v>73</v>
      </c>
      <c r="B77" s="6" t="s">
        <v>186</v>
      </c>
      <c r="C77" s="7" t="s">
        <v>232</v>
      </c>
      <c r="D77" s="11" t="s">
        <v>233</v>
      </c>
      <c r="E77" s="6" t="s">
        <v>234</v>
      </c>
      <c r="F77" s="8" t="s">
        <v>13</v>
      </c>
      <c r="G77" s="9"/>
    </row>
    <row r="78" customFormat="false" ht="29.85" hidden="false" customHeight="false" outlineLevel="0" collapsed="false">
      <c r="A78" s="5" t="n">
        <v>74</v>
      </c>
      <c r="B78" s="6" t="s">
        <v>186</v>
      </c>
      <c r="C78" s="7" t="s">
        <v>235</v>
      </c>
      <c r="D78" s="11" t="s">
        <v>236</v>
      </c>
      <c r="E78" s="6" t="s">
        <v>237</v>
      </c>
      <c r="F78" s="8" t="s">
        <v>13</v>
      </c>
      <c r="G78" s="9"/>
    </row>
    <row r="79" customFormat="false" ht="29.85" hidden="false" customHeight="false" outlineLevel="0" collapsed="false">
      <c r="A79" s="5" t="n">
        <v>75</v>
      </c>
      <c r="B79" s="6" t="s">
        <v>186</v>
      </c>
      <c r="C79" s="7" t="s">
        <v>238</v>
      </c>
      <c r="D79" s="6" t="s">
        <v>239</v>
      </c>
      <c r="E79" s="6" t="s">
        <v>240</v>
      </c>
      <c r="F79" s="8" t="s">
        <v>39</v>
      </c>
      <c r="G79" s="9"/>
    </row>
    <row r="80" customFormat="false" ht="15" hidden="false" customHeight="false" outlineLevel="0" collapsed="false">
      <c r="A80" s="5" t="n">
        <v>76</v>
      </c>
      <c r="B80" s="6" t="s">
        <v>186</v>
      </c>
      <c r="C80" s="7" t="s">
        <v>241</v>
      </c>
      <c r="D80" s="6" t="s">
        <v>242</v>
      </c>
      <c r="E80" s="11" t="s">
        <v>243</v>
      </c>
      <c r="F80" s="8" t="s">
        <v>13</v>
      </c>
      <c r="G80" s="9"/>
    </row>
    <row r="81" customFormat="false" ht="29.85" hidden="false" customHeight="false" outlineLevel="0" collapsed="false">
      <c r="A81" s="5" t="n">
        <v>77</v>
      </c>
      <c r="B81" s="6" t="s">
        <v>186</v>
      </c>
      <c r="C81" s="7" t="s">
        <v>244</v>
      </c>
      <c r="D81" s="6" t="s">
        <v>245</v>
      </c>
      <c r="E81" s="6" t="s">
        <v>246</v>
      </c>
      <c r="F81" s="8" t="s">
        <v>13</v>
      </c>
      <c r="G81" s="9"/>
    </row>
    <row r="82" customFormat="false" ht="29.85" hidden="false" customHeight="false" outlineLevel="0" collapsed="false">
      <c r="A82" s="5" t="n">
        <v>78</v>
      </c>
      <c r="B82" s="6" t="s">
        <v>186</v>
      </c>
      <c r="C82" s="7" t="s">
        <v>247</v>
      </c>
      <c r="D82" s="11" t="s">
        <v>248</v>
      </c>
      <c r="E82" s="6" t="s">
        <v>249</v>
      </c>
      <c r="F82" s="8" t="s">
        <v>13</v>
      </c>
      <c r="G82" s="9"/>
    </row>
    <row r="83" customFormat="false" ht="29.85" hidden="false" customHeight="false" outlineLevel="0" collapsed="false">
      <c r="A83" s="5" t="n">
        <v>79</v>
      </c>
      <c r="B83" s="6" t="s">
        <v>186</v>
      </c>
      <c r="C83" s="7" t="s">
        <v>250</v>
      </c>
      <c r="D83" s="11" t="s">
        <v>251</v>
      </c>
      <c r="E83" s="11" t="s">
        <v>252</v>
      </c>
      <c r="F83" s="8" t="s">
        <v>29</v>
      </c>
      <c r="G83" s="9"/>
    </row>
    <row r="84" customFormat="false" ht="15" hidden="false" customHeight="false" outlineLevel="0" collapsed="false">
      <c r="A84" s="5" t="n">
        <v>80</v>
      </c>
      <c r="B84" s="6" t="s">
        <v>253</v>
      </c>
      <c r="C84" s="7" t="s">
        <v>254</v>
      </c>
      <c r="D84" s="6" t="s">
        <v>255</v>
      </c>
      <c r="E84" s="6" t="s">
        <v>256</v>
      </c>
      <c r="F84" s="8" t="s">
        <v>13</v>
      </c>
      <c r="G84" s="9"/>
    </row>
    <row r="85" customFormat="false" ht="29.85" hidden="false" customHeight="false" outlineLevel="0" collapsed="false">
      <c r="A85" s="5" t="n">
        <v>81</v>
      </c>
      <c r="B85" s="6" t="s">
        <v>253</v>
      </c>
      <c r="C85" s="7" t="s">
        <v>257</v>
      </c>
      <c r="D85" s="6" t="s">
        <v>258</v>
      </c>
      <c r="E85" s="11" t="s">
        <v>259</v>
      </c>
      <c r="F85" s="8" t="s">
        <v>13</v>
      </c>
      <c r="G85" s="9"/>
    </row>
    <row r="86" customFormat="false" ht="29.85" hidden="false" customHeight="false" outlineLevel="0" collapsed="false">
      <c r="A86" s="5" t="n">
        <v>82</v>
      </c>
      <c r="B86" s="6" t="s">
        <v>253</v>
      </c>
      <c r="C86" s="7" t="s">
        <v>260</v>
      </c>
      <c r="D86" s="6" t="s">
        <v>261</v>
      </c>
      <c r="E86" s="11" t="s">
        <v>262</v>
      </c>
      <c r="F86" s="8" t="s">
        <v>29</v>
      </c>
      <c r="G86" s="9"/>
    </row>
    <row r="87" customFormat="false" ht="15" hidden="false" customHeight="false" outlineLevel="0" collapsed="false">
      <c r="A87" s="5" t="n">
        <v>83</v>
      </c>
      <c r="B87" s="6" t="s">
        <v>253</v>
      </c>
      <c r="C87" s="7" t="s">
        <v>263</v>
      </c>
      <c r="D87" s="6" t="s">
        <v>264</v>
      </c>
      <c r="E87" s="6" t="s">
        <v>265</v>
      </c>
      <c r="F87" s="8" t="s">
        <v>29</v>
      </c>
      <c r="G87" s="9"/>
    </row>
    <row r="88" customFormat="false" ht="15" hidden="false" customHeight="false" outlineLevel="0" collapsed="false">
      <c r="A88" s="5" t="n">
        <v>84</v>
      </c>
      <c r="B88" s="6" t="s">
        <v>253</v>
      </c>
      <c r="C88" s="7" t="s">
        <v>266</v>
      </c>
      <c r="D88" s="6" t="s">
        <v>267</v>
      </c>
      <c r="E88" s="6" t="s">
        <v>268</v>
      </c>
      <c r="F88" s="8" t="s">
        <v>13</v>
      </c>
      <c r="G88" s="9"/>
    </row>
    <row r="89" customFormat="false" ht="29.85" hidden="false" customHeight="false" outlineLevel="0" collapsed="false">
      <c r="A89" s="5" t="n">
        <v>85</v>
      </c>
      <c r="B89" s="6" t="s">
        <v>253</v>
      </c>
      <c r="C89" s="10" t="s">
        <v>269</v>
      </c>
      <c r="D89" s="11" t="s">
        <v>270</v>
      </c>
      <c r="E89" s="6" t="s">
        <v>271</v>
      </c>
      <c r="F89" s="8" t="s">
        <v>13</v>
      </c>
      <c r="G89" s="9"/>
    </row>
    <row r="90" customFormat="false" ht="15" hidden="false" customHeight="false" outlineLevel="0" collapsed="false">
      <c r="A90" s="5" t="n">
        <v>86</v>
      </c>
      <c r="B90" s="6" t="s">
        <v>253</v>
      </c>
      <c r="C90" s="7" t="s">
        <v>272</v>
      </c>
      <c r="D90" s="6" t="s">
        <v>273</v>
      </c>
      <c r="E90" s="6" t="s">
        <v>274</v>
      </c>
      <c r="F90" s="8" t="s">
        <v>29</v>
      </c>
      <c r="G90" s="9"/>
    </row>
    <row r="91" customFormat="false" ht="29.85" hidden="false" customHeight="false" outlineLevel="0" collapsed="false">
      <c r="A91" s="5" t="n">
        <v>87</v>
      </c>
      <c r="B91" s="6" t="s">
        <v>253</v>
      </c>
      <c r="C91" s="7" t="s">
        <v>275</v>
      </c>
      <c r="D91" s="11" t="s">
        <v>276</v>
      </c>
      <c r="E91" s="6" t="s">
        <v>277</v>
      </c>
      <c r="F91" s="8" t="s">
        <v>29</v>
      </c>
      <c r="G91" s="9"/>
    </row>
    <row r="92" customFormat="false" ht="15" hidden="false" customHeight="false" outlineLevel="0" collapsed="false">
      <c r="A92" s="5" t="n">
        <v>88</v>
      </c>
      <c r="B92" s="6" t="s">
        <v>253</v>
      </c>
      <c r="C92" s="7" t="s">
        <v>278</v>
      </c>
      <c r="D92" s="6" t="s">
        <v>279</v>
      </c>
      <c r="E92" s="6" t="s">
        <v>280</v>
      </c>
      <c r="F92" s="8" t="s">
        <v>39</v>
      </c>
      <c r="G92" s="9"/>
    </row>
    <row r="93" customFormat="false" ht="15" hidden="false" customHeight="false" outlineLevel="0" collapsed="false">
      <c r="A93" s="5" t="n">
        <v>89</v>
      </c>
      <c r="B93" s="6" t="s">
        <v>253</v>
      </c>
      <c r="C93" s="7" t="s">
        <v>281</v>
      </c>
      <c r="D93" s="6" t="s">
        <v>282</v>
      </c>
      <c r="E93" s="6" t="s">
        <v>283</v>
      </c>
      <c r="F93" s="8" t="s">
        <v>13</v>
      </c>
      <c r="G93" s="9"/>
    </row>
    <row r="94" customFormat="false" ht="29.85" hidden="false" customHeight="false" outlineLevel="0" collapsed="false">
      <c r="A94" s="5" t="n">
        <v>90</v>
      </c>
      <c r="B94" s="6" t="s">
        <v>253</v>
      </c>
      <c r="C94" s="7" t="s">
        <v>284</v>
      </c>
      <c r="D94" s="6" t="s">
        <v>285</v>
      </c>
      <c r="E94" s="6" t="s">
        <v>286</v>
      </c>
      <c r="F94" s="8" t="s">
        <v>29</v>
      </c>
      <c r="G94" s="9"/>
    </row>
    <row r="95" customFormat="false" ht="15" hidden="false" customHeight="false" outlineLevel="0" collapsed="false">
      <c r="A95" s="5" t="n">
        <v>91</v>
      </c>
      <c r="B95" s="6" t="s">
        <v>253</v>
      </c>
      <c r="C95" s="7" t="s">
        <v>287</v>
      </c>
      <c r="D95" s="11" t="s">
        <v>288</v>
      </c>
      <c r="E95" s="6" t="s">
        <v>289</v>
      </c>
      <c r="F95" s="8" t="s">
        <v>13</v>
      </c>
      <c r="G95" s="9"/>
    </row>
    <row r="96" customFormat="false" ht="26.85" hidden="false" customHeight="false" outlineLevel="0" collapsed="false">
      <c r="A96" s="5" t="n">
        <v>92</v>
      </c>
      <c r="B96" s="6" t="s">
        <v>253</v>
      </c>
      <c r="C96" s="7" t="s">
        <v>290</v>
      </c>
      <c r="D96" s="6" t="s">
        <v>291</v>
      </c>
      <c r="E96" s="6" t="s">
        <v>292</v>
      </c>
      <c r="F96" s="8" t="s">
        <v>29</v>
      </c>
      <c r="G96" s="9"/>
    </row>
    <row r="97" customFormat="false" ht="15" hidden="false" customHeight="false" outlineLevel="0" collapsed="false">
      <c r="A97" s="5" t="n">
        <v>93</v>
      </c>
      <c r="B97" s="6" t="s">
        <v>253</v>
      </c>
      <c r="C97" s="7" t="s">
        <v>293</v>
      </c>
      <c r="D97" s="11" t="s">
        <v>294</v>
      </c>
      <c r="E97" s="11" t="s">
        <v>295</v>
      </c>
      <c r="F97" s="8" t="s">
        <v>29</v>
      </c>
      <c r="G97" s="9"/>
    </row>
    <row r="98" customFormat="false" ht="29.85" hidden="false" customHeight="false" outlineLevel="0" collapsed="false">
      <c r="A98" s="5" t="n">
        <v>94</v>
      </c>
      <c r="B98" s="6" t="s">
        <v>253</v>
      </c>
      <c r="C98" s="7" t="s">
        <v>296</v>
      </c>
      <c r="D98" s="11" t="s">
        <v>297</v>
      </c>
      <c r="E98" s="11" t="s">
        <v>298</v>
      </c>
      <c r="F98" s="8" t="s">
        <v>13</v>
      </c>
      <c r="G98" s="9"/>
    </row>
    <row r="99" customFormat="false" ht="29.85" hidden="false" customHeight="false" outlineLevel="0" collapsed="false">
      <c r="A99" s="5" t="n">
        <v>95</v>
      </c>
      <c r="B99" s="6" t="s">
        <v>253</v>
      </c>
      <c r="C99" s="7" t="s">
        <v>299</v>
      </c>
      <c r="D99" s="11" t="s">
        <v>300</v>
      </c>
      <c r="E99" s="6" t="s">
        <v>301</v>
      </c>
      <c r="F99" s="8" t="s">
        <v>29</v>
      </c>
      <c r="G99" s="9"/>
    </row>
    <row r="100" customFormat="false" ht="15" hidden="false" customHeight="false" outlineLevel="0" collapsed="false">
      <c r="A100" s="5" t="n">
        <v>96</v>
      </c>
      <c r="B100" s="6" t="s">
        <v>253</v>
      </c>
      <c r="C100" s="7" t="s">
        <v>302</v>
      </c>
      <c r="D100" s="6" t="s">
        <v>303</v>
      </c>
      <c r="E100" s="11" t="s">
        <v>304</v>
      </c>
      <c r="F100" s="8" t="s">
        <v>39</v>
      </c>
      <c r="G100" s="9"/>
    </row>
    <row r="101" customFormat="false" ht="15" hidden="false" customHeight="false" outlineLevel="0" collapsed="false">
      <c r="A101" s="5" t="n">
        <v>97</v>
      </c>
      <c r="B101" s="6" t="s">
        <v>253</v>
      </c>
      <c r="C101" s="7" t="s">
        <v>305</v>
      </c>
      <c r="D101" s="11" t="s">
        <v>306</v>
      </c>
      <c r="E101" s="11" t="s">
        <v>307</v>
      </c>
      <c r="F101" s="8" t="s">
        <v>39</v>
      </c>
      <c r="G101" s="9"/>
    </row>
    <row r="102" customFormat="false" ht="15" hidden="false" customHeight="false" outlineLevel="0" collapsed="false">
      <c r="A102" s="5" t="n">
        <v>98</v>
      </c>
      <c r="B102" s="6" t="s">
        <v>253</v>
      </c>
      <c r="C102" s="7" t="s">
        <v>308</v>
      </c>
      <c r="D102" s="6" t="s">
        <v>309</v>
      </c>
      <c r="E102" s="6" t="s">
        <v>310</v>
      </c>
      <c r="F102" s="8" t="s">
        <v>29</v>
      </c>
      <c r="G102" s="9"/>
    </row>
    <row r="103" customFormat="false" ht="15" hidden="false" customHeight="false" outlineLevel="0" collapsed="false">
      <c r="A103" s="5" t="n">
        <v>99</v>
      </c>
      <c r="B103" s="6" t="s">
        <v>253</v>
      </c>
      <c r="C103" s="7" t="s">
        <v>311</v>
      </c>
      <c r="D103" s="11" t="s">
        <v>312</v>
      </c>
      <c r="E103" s="6" t="s">
        <v>313</v>
      </c>
      <c r="F103" s="8" t="s">
        <v>29</v>
      </c>
      <c r="G103" s="9"/>
    </row>
    <row r="104" customFormat="false" ht="15" hidden="false" customHeight="false" outlineLevel="0" collapsed="false">
      <c r="A104" s="5" t="n">
        <v>100</v>
      </c>
      <c r="B104" s="6" t="s">
        <v>253</v>
      </c>
      <c r="C104" s="7" t="s">
        <v>314</v>
      </c>
      <c r="D104" s="6" t="s">
        <v>315</v>
      </c>
      <c r="E104" s="11" t="s">
        <v>316</v>
      </c>
      <c r="F104" s="8" t="s">
        <v>29</v>
      </c>
      <c r="G104" s="9"/>
    </row>
    <row r="105" customFormat="false" ht="15" hidden="false" customHeight="false" outlineLevel="0" collapsed="false">
      <c r="A105" s="5" t="n">
        <v>101</v>
      </c>
      <c r="B105" s="6" t="s">
        <v>253</v>
      </c>
      <c r="C105" s="7" t="s">
        <v>317</v>
      </c>
      <c r="D105" s="6" t="s">
        <v>318</v>
      </c>
      <c r="E105" s="6" t="s">
        <v>319</v>
      </c>
      <c r="F105" s="8" t="s">
        <v>39</v>
      </c>
      <c r="G105" s="9"/>
    </row>
    <row r="106" customFormat="false" ht="15" hidden="false" customHeight="false" outlineLevel="0" collapsed="false">
      <c r="A106" s="5" t="n">
        <v>102</v>
      </c>
      <c r="B106" s="6" t="s">
        <v>253</v>
      </c>
      <c r="C106" s="7" t="s">
        <v>320</v>
      </c>
      <c r="D106" s="6" t="s">
        <v>321</v>
      </c>
      <c r="E106" s="11" t="s">
        <v>322</v>
      </c>
      <c r="F106" s="8" t="s">
        <v>39</v>
      </c>
      <c r="G106" s="9"/>
    </row>
    <row r="107" customFormat="false" ht="29.85" hidden="false" customHeight="false" outlineLevel="0" collapsed="false">
      <c r="A107" s="5" t="n">
        <v>103</v>
      </c>
      <c r="B107" s="6" t="s">
        <v>323</v>
      </c>
      <c r="C107" s="7" t="s">
        <v>324</v>
      </c>
      <c r="D107" s="6" t="s">
        <v>325</v>
      </c>
      <c r="E107" s="6" t="s">
        <v>326</v>
      </c>
      <c r="F107" s="8" t="s">
        <v>13</v>
      </c>
      <c r="G107" s="9"/>
    </row>
    <row r="108" customFormat="false" ht="29.85" hidden="false" customHeight="false" outlineLevel="0" collapsed="false">
      <c r="A108" s="5" t="n">
        <v>104</v>
      </c>
      <c r="B108" s="6" t="s">
        <v>323</v>
      </c>
      <c r="C108" s="7" t="s">
        <v>327</v>
      </c>
      <c r="D108" s="6" t="s">
        <v>328</v>
      </c>
      <c r="E108" s="6" t="s">
        <v>329</v>
      </c>
      <c r="F108" s="8" t="s">
        <v>29</v>
      </c>
      <c r="G108" s="9"/>
    </row>
    <row r="109" customFormat="false" ht="29.85" hidden="false" customHeight="false" outlineLevel="0" collapsed="false">
      <c r="A109" s="5" t="n">
        <v>105</v>
      </c>
      <c r="B109" s="6" t="s">
        <v>323</v>
      </c>
      <c r="C109" s="10" t="s">
        <v>330</v>
      </c>
      <c r="D109" s="6" t="s">
        <v>331</v>
      </c>
      <c r="E109" s="6" t="s">
        <v>332</v>
      </c>
      <c r="F109" s="8" t="s">
        <v>29</v>
      </c>
      <c r="G109" s="9"/>
    </row>
    <row r="110" customFormat="false" ht="29.85" hidden="false" customHeight="false" outlineLevel="0" collapsed="false">
      <c r="A110" s="5" t="n">
        <v>106</v>
      </c>
      <c r="B110" s="6" t="s">
        <v>323</v>
      </c>
      <c r="C110" s="7" t="s">
        <v>333</v>
      </c>
      <c r="D110" s="11" t="s">
        <v>334</v>
      </c>
      <c r="E110" s="6" t="s">
        <v>335</v>
      </c>
      <c r="F110" s="8" t="s">
        <v>13</v>
      </c>
      <c r="G110" s="9"/>
    </row>
    <row r="111" customFormat="false" ht="29.85" hidden="false" customHeight="false" outlineLevel="0" collapsed="false">
      <c r="A111" s="5" t="n">
        <v>107</v>
      </c>
      <c r="B111" s="6" t="s">
        <v>323</v>
      </c>
      <c r="C111" s="7" t="s">
        <v>336</v>
      </c>
      <c r="D111" s="6" t="s">
        <v>337</v>
      </c>
      <c r="E111" s="6" t="s">
        <v>338</v>
      </c>
      <c r="F111" s="8" t="s">
        <v>29</v>
      </c>
      <c r="G111" s="9"/>
    </row>
    <row r="112" customFormat="false" ht="29.85" hidden="false" customHeight="false" outlineLevel="0" collapsed="false">
      <c r="A112" s="5" t="n">
        <v>108</v>
      </c>
      <c r="B112" s="6" t="s">
        <v>323</v>
      </c>
      <c r="C112" s="7" t="s">
        <v>339</v>
      </c>
      <c r="D112" s="6" t="s">
        <v>340</v>
      </c>
      <c r="E112" s="6" t="s">
        <v>341</v>
      </c>
      <c r="F112" s="8" t="s">
        <v>29</v>
      </c>
      <c r="G112" s="9"/>
    </row>
    <row r="113" customFormat="false" ht="29.85" hidden="false" customHeight="false" outlineLevel="0" collapsed="false">
      <c r="A113" s="5" t="n">
        <v>109</v>
      </c>
      <c r="B113" s="6" t="s">
        <v>323</v>
      </c>
      <c r="C113" s="7" t="s">
        <v>342</v>
      </c>
      <c r="D113" s="11" t="s">
        <v>343</v>
      </c>
      <c r="E113" s="11" t="s">
        <v>344</v>
      </c>
      <c r="F113" s="8" t="s">
        <v>13</v>
      </c>
      <c r="G113" s="9"/>
    </row>
    <row r="114" customFormat="false" ht="29.85" hidden="false" customHeight="false" outlineLevel="0" collapsed="false">
      <c r="A114" s="5" t="n">
        <v>110</v>
      </c>
      <c r="B114" s="6" t="s">
        <v>323</v>
      </c>
      <c r="C114" s="7" t="s">
        <v>345</v>
      </c>
      <c r="D114" s="11" t="s">
        <v>346</v>
      </c>
      <c r="E114" s="6" t="s">
        <v>347</v>
      </c>
      <c r="F114" s="8" t="s">
        <v>39</v>
      </c>
      <c r="G114" s="9"/>
    </row>
    <row r="115" customFormat="false" ht="29.85" hidden="false" customHeight="false" outlineLevel="0" collapsed="false">
      <c r="A115" s="5" t="n">
        <v>111</v>
      </c>
      <c r="B115" s="6" t="s">
        <v>323</v>
      </c>
      <c r="C115" s="7" t="s">
        <v>348</v>
      </c>
      <c r="D115" s="6" t="s">
        <v>349</v>
      </c>
      <c r="E115" s="11" t="s">
        <v>350</v>
      </c>
      <c r="F115" s="8" t="s">
        <v>39</v>
      </c>
      <c r="G115" s="9"/>
    </row>
    <row r="116" customFormat="false" ht="15" hidden="false" customHeight="false" outlineLevel="0" collapsed="false">
      <c r="A116" s="5" t="n">
        <v>112</v>
      </c>
      <c r="B116" s="6" t="s">
        <v>351</v>
      </c>
      <c r="C116" s="7" t="s">
        <v>352</v>
      </c>
      <c r="D116" s="6" t="s">
        <v>353</v>
      </c>
      <c r="E116" s="6" t="s">
        <v>354</v>
      </c>
      <c r="F116" s="8" t="s">
        <v>29</v>
      </c>
      <c r="G116" s="9"/>
    </row>
    <row r="117" customFormat="false" ht="29.85" hidden="false" customHeight="false" outlineLevel="0" collapsed="false">
      <c r="A117" s="5" t="n">
        <v>113</v>
      </c>
      <c r="B117" s="6" t="s">
        <v>351</v>
      </c>
      <c r="C117" s="7" t="s">
        <v>355</v>
      </c>
      <c r="D117" s="6" t="s">
        <v>356</v>
      </c>
      <c r="E117" s="6" t="s">
        <v>357</v>
      </c>
      <c r="F117" s="8" t="s">
        <v>29</v>
      </c>
      <c r="G117" s="9"/>
    </row>
    <row r="118" customFormat="false" ht="29.85" hidden="false" customHeight="false" outlineLevel="0" collapsed="false">
      <c r="A118" s="5" t="n">
        <v>114</v>
      </c>
      <c r="B118" s="6" t="s">
        <v>351</v>
      </c>
      <c r="C118" s="7" t="s">
        <v>358</v>
      </c>
      <c r="D118" s="11" t="s">
        <v>359</v>
      </c>
      <c r="E118" s="11" t="s">
        <v>360</v>
      </c>
      <c r="F118" s="8" t="s">
        <v>13</v>
      </c>
      <c r="G118" s="9"/>
    </row>
    <row r="119" customFormat="false" ht="15" hidden="false" customHeight="false" outlineLevel="0" collapsed="false">
      <c r="A119" s="5" t="n">
        <v>115</v>
      </c>
      <c r="B119" s="6" t="s">
        <v>351</v>
      </c>
      <c r="C119" s="7" t="s">
        <v>361</v>
      </c>
      <c r="D119" s="6" t="s">
        <v>362</v>
      </c>
      <c r="E119" s="6" t="s">
        <v>363</v>
      </c>
      <c r="F119" s="8" t="s">
        <v>29</v>
      </c>
      <c r="G119" s="9"/>
    </row>
    <row r="120" customFormat="false" ht="15" hidden="false" customHeight="false" outlineLevel="0" collapsed="false">
      <c r="A120" s="5" t="n">
        <v>116</v>
      </c>
      <c r="B120" s="6" t="s">
        <v>351</v>
      </c>
      <c r="C120" s="7" t="s">
        <v>364</v>
      </c>
      <c r="D120" s="11" t="s">
        <v>365</v>
      </c>
      <c r="E120" s="6" t="s">
        <v>366</v>
      </c>
      <c r="F120" s="8" t="s">
        <v>39</v>
      </c>
      <c r="G120" s="9"/>
    </row>
    <row r="121" customFormat="false" ht="15" hidden="false" customHeight="false" outlineLevel="0" collapsed="false">
      <c r="A121" s="5" t="n">
        <v>117</v>
      </c>
      <c r="B121" s="6" t="s">
        <v>351</v>
      </c>
      <c r="C121" s="7" t="s">
        <v>367</v>
      </c>
      <c r="D121" s="11" t="s">
        <v>368</v>
      </c>
      <c r="E121" s="6" t="s">
        <v>369</v>
      </c>
      <c r="F121" s="8" t="s">
        <v>29</v>
      </c>
      <c r="G121" s="9"/>
    </row>
    <row r="122" customFormat="false" ht="15" hidden="false" customHeight="false" outlineLevel="0" collapsed="false">
      <c r="A122" s="5" t="n">
        <v>118</v>
      </c>
      <c r="B122" s="6" t="s">
        <v>351</v>
      </c>
      <c r="C122" s="7" t="s">
        <v>370</v>
      </c>
      <c r="D122" s="11" t="s">
        <v>371</v>
      </c>
      <c r="E122" s="6" t="s">
        <v>372</v>
      </c>
      <c r="F122" s="8" t="s">
        <v>29</v>
      </c>
      <c r="G122" s="9"/>
    </row>
    <row r="123" customFormat="false" ht="15" hidden="false" customHeight="false" outlineLevel="0" collapsed="false">
      <c r="A123" s="5" t="n">
        <v>119</v>
      </c>
      <c r="B123" s="6" t="s">
        <v>351</v>
      </c>
      <c r="C123" s="7" t="s">
        <v>373</v>
      </c>
      <c r="D123" s="6" t="s">
        <v>374</v>
      </c>
      <c r="E123" s="6" t="s">
        <v>375</v>
      </c>
      <c r="F123" s="8" t="s">
        <v>39</v>
      </c>
      <c r="G123" s="9"/>
    </row>
    <row r="124" customFormat="false" ht="15" hidden="false" customHeight="false" outlineLevel="0" collapsed="false">
      <c r="A124" s="5" t="n">
        <v>120</v>
      </c>
      <c r="B124" s="6" t="s">
        <v>351</v>
      </c>
      <c r="C124" s="7" t="s">
        <v>376</v>
      </c>
      <c r="D124" s="6" t="s">
        <v>377</v>
      </c>
      <c r="E124" s="6" t="s">
        <v>378</v>
      </c>
      <c r="F124" s="8" t="s">
        <v>39</v>
      </c>
      <c r="G124" s="9"/>
    </row>
    <row r="125" customFormat="false" ht="15" hidden="false" customHeight="false" outlineLevel="0" collapsed="false">
      <c r="A125" s="5" t="n">
        <v>121</v>
      </c>
      <c r="B125" s="6" t="s">
        <v>379</v>
      </c>
      <c r="C125" s="7" t="s">
        <v>380</v>
      </c>
      <c r="D125" s="6" t="s">
        <v>381</v>
      </c>
      <c r="E125" s="11" t="s">
        <v>382</v>
      </c>
      <c r="F125" s="8" t="s">
        <v>13</v>
      </c>
      <c r="G125" s="9"/>
    </row>
    <row r="126" customFormat="false" ht="29.85" hidden="false" customHeight="false" outlineLevel="0" collapsed="false">
      <c r="A126" s="5" t="n">
        <v>122</v>
      </c>
      <c r="B126" s="6" t="s">
        <v>379</v>
      </c>
      <c r="C126" s="7" t="s">
        <v>383</v>
      </c>
      <c r="D126" s="11" t="s">
        <v>384</v>
      </c>
      <c r="E126" s="6" t="s">
        <v>385</v>
      </c>
      <c r="F126" s="8" t="s">
        <v>29</v>
      </c>
      <c r="G126" s="9"/>
    </row>
    <row r="127" customFormat="false" ht="15" hidden="false" customHeight="false" outlineLevel="0" collapsed="false">
      <c r="A127" s="5" t="n">
        <v>123</v>
      </c>
      <c r="B127" s="6" t="s">
        <v>379</v>
      </c>
      <c r="C127" s="7" t="s">
        <v>386</v>
      </c>
      <c r="D127" s="11" t="s">
        <v>387</v>
      </c>
      <c r="E127" s="6" t="s">
        <v>388</v>
      </c>
      <c r="F127" s="8" t="s">
        <v>13</v>
      </c>
      <c r="G127" s="9"/>
    </row>
    <row r="128" customFormat="false" ht="15" hidden="false" customHeight="false" outlineLevel="0" collapsed="false">
      <c r="A128" s="5" t="n">
        <v>124</v>
      </c>
      <c r="B128" s="6" t="s">
        <v>379</v>
      </c>
      <c r="C128" s="7" t="s">
        <v>389</v>
      </c>
      <c r="D128" s="6" t="s">
        <v>390</v>
      </c>
      <c r="E128" s="6" t="s">
        <v>391</v>
      </c>
      <c r="F128" s="8" t="s">
        <v>29</v>
      </c>
      <c r="G128" s="9"/>
    </row>
    <row r="129" customFormat="false" ht="29.85" hidden="false" customHeight="false" outlineLevel="0" collapsed="false">
      <c r="A129" s="5" t="n">
        <v>125</v>
      </c>
      <c r="B129" s="6" t="s">
        <v>379</v>
      </c>
      <c r="C129" s="7" t="s">
        <v>392</v>
      </c>
      <c r="D129" s="11" t="s">
        <v>393</v>
      </c>
      <c r="E129" s="11" t="s">
        <v>394</v>
      </c>
      <c r="F129" s="8" t="s">
        <v>29</v>
      </c>
      <c r="G129" s="9"/>
    </row>
    <row r="130" customFormat="false" ht="29.85" hidden="false" customHeight="false" outlineLevel="0" collapsed="false">
      <c r="A130" s="5" t="n">
        <v>126</v>
      </c>
      <c r="B130" s="6" t="s">
        <v>379</v>
      </c>
      <c r="C130" s="7" t="s">
        <v>395</v>
      </c>
      <c r="D130" s="6" t="s">
        <v>396</v>
      </c>
      <c r="E130" s="6" t="s">
        <v>397</v>
      </c>
      <c r="F130" s="8" t="s">
        <v>29</v>
      </c>
      <c r="G130" s="9"/>
    </row>
    <row r="131" customFormat="false" ht="29.85" hidden="false" customHeight="false" outlineLevel="0" collapsed="false">
      <c r="A131" s="5" t="n">
        <v>127</v>
      </c>
      <c r="B131" s="6" t="s">
        <v>379</v>
      </c>
      <c r="C131" s="7" t="s">
        <v>398</v>
      </c>
      <c r="D131" s="6" t="s">
        <v>399</v>
      </c>
      <c r="E131" s="6" t="s">
        <v>400</v>
      </c>
      <c r="F131" s="8" t="s">
        <v>39</v>
      </c>
      <c r="G131" s="9"/>
    </row>
    <row r="132" customFormat="false" ht="29.85" hidden="false" customHeight="false" outlineLevel="0" collapsed="false">
      <c r="A132" s="5" t="n">
        <v>128</v>
      </c>
      <c r="B132" s="6" t="s">
        <v>379</v>
      </c>
      <c r="C132" s="7" t="s">
        <v>401</v>
      </c>
      <c r="D132" s="6" t="s">
        <v>402</v>
      </c>
      <c r="E132" s="6" t="s">
        <v>403</v>
      </c>
      <c r="F132" s="8" t="s">
        <v>39</v>
      </c>
      <c r="G132" s="9"/>
    </row>
    <row r="133" customFormat="false" ht="15" hidden="false" customHeight="false" outlineLevel="0" collapsed="false">
      <c r="A133" s="5" t="n">
        <v>129</v>
      </c>
      <c r="B133" s="6" t="s">
        <v>379</v>
      </c>
      <c r="C133" s="7" t="s">
        <v>404</v>
      </c>
      <c r="D133" s="11" t="s">
        <v>405</v>
      </c>
      <c r="E133" s="6" t="s">
        <v>406</v>
      </c>
      <c r="F133" s="8" t="s">
        <v>39</v>
      </c>
      <c r="G133" s="9"/>
    </row>
    <row r="134" customFormat="false" ht="15" hidden="false" customHeight="false" outlineLevel="0" collapsed="false">
      <c r="A134" s="5" t="n">
        <v>130</v>
      </c>
      <c r="B134" s="6" t="s">
        <v>379</v>
      </c>
      <c r="C134" s="7" t="s">
        <v>407</v>
      </c>
      <c r="D134" s="6" t="s">
        <v>408</v>
      </c>
      <c r="E134" s="6" t="s">
        <v>409</v>
      </c>
      <c r="F134" s="8" t="s">
        <v>39</v>
      </c>
      <c r="G134" s="9"/>
    </row>
    <row r="135" customFormat="false" ht="29.85" hidden="false" customHeight="false" outlineLevel="0" collapsed="false">
      <c r="A135" s="5" t="n">
        <v>131</v>
      </c>
      <c r="B135" s="6" t="s">
        <v>410</v>
      </c>
      <c r="C135" s="7" t="s">
        <v>411</v>
      </c>
      <c r="D135" s="11" t="s">
        <v>412</v>
      </c>
      <c r="E135" s="6" t="s">
        <v>413</v>
      </c>
      <c r="F135" s="8" t="s">
        <v>29</v>
      </c>
      <c r="G135" s="9"/>
    </row>
    <row r="136" customFormat="false" ht="15" hidden="false" customHeight="false" outlineLevel="0" collapsed="false">
      <c r="A136" s="5" t="n">
        <v>132</v>
      </c>
      <c r="B136" s="6" t="s">
        <v>410</v>
      </c>
      <c r="C136" s="7" t="s">
        <v>414</v>
      </c>
      <c r="D136" s="11" t="s">
        <v>415</v>
      </c>
      <c r="E136" s="11" t="s">
        <v>416</v>
      </c>
      <c r="F136" s="8" t="s">
        <v>29</v>
      </c>
      <c r="G136" s="9"/>
    </row>
    <row r="137" customFormat="false" ht="23.85" hidden="false" customHeight="false" outlineLevel="0" collapsed="false">
      <c r="A137" s="5" t="n">
        <v>133</v>
      </c>
      <c r="B137" s="6" t="s">
        <v>410</v>
      </c>
      <c r="C137" s="7" t="s">
        <v>417</v>
      </c>
      <c r="D137" s="6" t="s">
        <v>418</v>
      </c>
      <c r="E137" s="6" t="s">
        <v>419</v>
      </c>
      <c r="F137" s="8" t="s">
        <v>39</v>
      </c>
      <c r="G137" s="9"/>
    </row>
    <row r="138" customFormat="false" ht="29.85" hidden="false" customHeight="false" outlineLevel="0" collapsed="false">
      <c r="A138" s="5" t="n">
        <v>134</v>
      </c>
      <c r="B138" s="6" t="s">
        <v>410</v>
      </c>
      <c r="C138" s="10" t="s">
        <v>420</v>
      </c>
      <c r="D138" s="6" t="s">
        <v>421</v>
      </c>
      <c r="E138" s="6" t="s">
        <v>422</v>
      </c>
      <c r="F138" s="8" t="s">
        <v>39</v>
      </c>
      <c r="G138" s="9"/>
    </row>
    <row r="139" customFormat="false" ht="15" hidden="false" customHeight="false" outlineLevel="0" collapsed="false">
      <c r="A139" s="5" t="n">
        <v>135</v>
      </c>
      <c r="B139" s="6" t="s">
        <v>423</v>
      </c>
      <c r="C139" s="7" t="s">
        <v>424</v>
      </c>
      <c r="D139" s="6" t="s">
        <v>425</v>
      </c>
      <c r="E139" s="6" t="s">
        <v>426</v>
      </c>
      <c r="F139" s="8" t="s">
        <v>29</v>
      </c>
      <c r="G139" s="9"/>
    </row>
    <row r="140" customFormat="false" ht="15" hidden="false" customHeight="false" outlineLevel="0" collapsed="false">
      <c r="A140" s="5" t="n">
        <v>136</v>
      </c>
      <c r="B140" s="6" t="s">
        <v>423</v>
      </c>
      <c r="C140" s="7" t="s">
        <v>427</v>
      </c>
      <c r="D140" s="6" t="s">
        <v>428</v>
      </c>
      <c r="E140" s="6" t="s">
        <v>429</v>
      </c>
      <c r="F140" s="8" t="s">
        <v>29</v>
      </c>
      <c r="G140" s="9"/>
    </row>
    <row r="141" customFormat="false" ht="15" hidden="false" customHeight="false" outlineLevel="0" collapsed="false">
      <c r="A141" s="5" t="n">
        <v>137</v>
      </c>
      <c r="B141" s="6" t="s">
        <v>423</v>
      </c>
      <c r="C141" s="10" t="s">
        <v>430</v>
      </c>
      <c r="D141" s="6" t="s">
        <v>431</v>
      </c>
      <c r="E141" s="6" t="s">
        <v>432</v>
      </c>
      <c r="F141" s="8" t="s">
        <v>39</v>
      </c>
      <c r="G141" s="9"/>
    </row>
    <row r="142" customFormat="false" ht="29.85" hidden="false" customHeight="false" outlineLevel="0" collapsed="false">
      <c r="A142" s="5" t="n">
        <v>138</v>
      </c>
      <c r="B142" s="6" t="s">
        <v>423</v>
      </c>
      <c r="C142" s="10" t="s">
        <v>433</v>
      </c>
      <c r="D142" s="6" t="s">
        <v>434</v>
      </c>
      <c r="E142" s="6" t="s">
        <v>435</v>
      </c>
      <c r="F142" s="8" t="s">
        <v>29</v>
      </c>
      <c r="G142" s="9"/>
    </row>
    <row r="143" customFormat="false" ht="15" hidden="false" customHeight="false" outlineLevel="0" collapsed="false">
      <c r="A143" s="5" t="n">
        <v>139</v>
      </c>
      <c r="B143" s="11" t="s">
        <v>436</v>
      </c>
      <c r="C143" s="7" t="s">
        <v>437</v>
      </c>
      <c r="D143" s="6" t="s">
        <v>438</v>
      </c>
      <c r="E143" s="6" t="s">
        <v>439</v>
      </c>
      <c r="F143" s="8" t="s">
        <v>39</v>
      </c>
      <c r="G143" s="9"/>
    </row>
    <row r="144" customFormat="false" ht="15" hidden="false" customHeight="false" outlineLevel="0" collapsed="false">
      <c r="A144" s="5" t="n">
        <v>140</v>
      </c>
      <c r="B144" s="11" t="s">
        <v>436</v>
      </c>
      <c r="C144" s="7" t="s">
        <v>440</v>
      </c>
      <c r="D144" s="6" t="s">
        <v>441</v>
      </c>
      <c r="E144" s="6" t="s">
        <v>442</v>
      </c>
      <c r="F144" s="8" t="s">
        <v>39</v>
      </c>
      <c r="G144" s="9"/>
    </row>
    <row r="145" customFormat="false" ht="15" hidden="false" customHeight="false" outlineLevel="0" collapsed="false">
      <c r="A145" s="5" t="n">
        <v>141</v>
      </c>
      <c r="B145" s="11" t="s">
        <v>436</v>
      </c>
      <c r="C145" s="7" t="s">
        <v>443</v>
      </c>
      <c r="D145" s="6" t="s">
        <v>444</v>
      </c>
      <c r="E145" s="6" t="s">
        <v>445</v>
      </c>
      <c r="F145" s="8" t="s">
        <v>39</v>
      </c>
      <c r="G145" s="9"/>
    </row>
    <row r="146" customFormat="false" ht="29.85" hidden="false" customHeight="false" outlineLevel="0" collapsed="false">
      <c r="A146" s="5" t="n">
        <v>142</v>
      </c>
      <c r="B146" s="11" t="s">
        <v>436</v>
      </c>
      <c r="C146" s="7" t="s">
        <v>446</v>
      </c>
      <c r="D146" s="6" t="s">
        <v>447</v>
      </c>
      <c r="E146" s="6" t="s">
        <v>448</v>
      </c>
      <c r="F146" s="8" t="s">
        <v>39</v>
      </c>
      <c r="G146" s="9"/>
    </row>
    <row r="147" customFormat="false" ht="29.85" hidden="false" customHeight="false" outlineLevel="0" collapsed="false">
      <c r="A147" s="5" t="n">
        <v>143</v>
      </c>
      <c r="B147" s="6" t="s">
        <v>449</v>
      </c>
      <c r="C147" s="7" t="s">
        <v>450</v>
      </c>
      <c r="D147" s="11" t="s">
        <v>451</v>
      </c>
      <c r="E147" s="6" t="s">
        <v>452</v>
      </c>
      <c r="F147" s="8" t="s">
        <v>13</v>
      </c>
      <c r="G147" s="9"/>
    </row>
    <row r="148" customFormat="false" ht="29.85" hidden="false" customHeight="false" outlineLevel="0" collapsed="false">
      <c r="A148" s="5" t="n">
        <v>144</v>
      </c>
      <c r="B148" s="6" t="s">
        <v>449</v>
      </c>
      <c r="C148" s="10" t="s">
        <v>453</v>
      </c>
      <c r="D148" s="6" t="s">
        <v>454</v>
      </c>
      <c r="E148" s="6" t="s">
        <v>455</v>
      </c>
      <c r="F148" s="8" t="s">
        <v>13</v>
      </c>
      <c r="G148" s="9"/>
    </row>
    <row r="149" customFormat="false" ht="15" hidden="false" customHeight="false" outlineLevel="0" collapsed="false">
      <c r="A149" s="5" t="n">
        <v>145</v>
      </c>
      <c r="B149" s="6" t="s">
        <v>449</v>
      </c>
      <c r="C149" s="7" t="s">
        <v>456</v>
      </c>
      <c r="D149" s="11" t="s">
        <v>457</v>
      </c>
      <c r="E149" s="6" t="s">
        <v>458</v>
      </c>
      <c r="F149" s="8" t="s">
        <v>13</v>
      </c>
      <c r="G149" s="9"/>
    </row>
    <row r="150" customFormat="false" ht="29.85" hidden="false" customHeight="false" outlineLevel="0" collapsed="false">
      <c r="A150" s="5" t="n">
        <v>146</v>
      </c>
      <c r="B150" s="6" t="s">
        <v>449</v>
      </c>
      <c r="C150" s="7" t="s">
        <v>459</v>
      </c>
      <c r="D150" s="6" t="s">
        <v>460</v>
      </c>
      <c r="E150" s="11" t="s">
        <v>461</v>
      </c>
      <c r="F150" s="8" t="s">
        <v>13</v>
      </c>
      <c r="G150" s="9"/>
    </row>
    <row r="151" customFormat="false" ht="15" hidden="false" customHeight="false" outlineLevel="0" collapsed="false">
      <c r="A151" s="5" t="n">
        <v>147</v>
      </c>
      <c r="B151" s="6" t="s">
        <v>449</v>
      </c>
      <c r="C151" s="10" t="s">
        <v>462</v>
      </c>
      <c r="D151" s="11" t="s">
        <v>463</v>
      </c>
      <c r="E151" s="6" t="s">
        <v>464</v>
      </c>
      <c r="F151" s="8" t="s">
        <v>13</v>
      </c>
      <c r="G151" s="9"/>
    </row>
    <row r="152" customFormat="false" ht="29.85" hidden="false" customHeight="false" outlineLevel="0" collapsed="false">
      <c r="A152" s="5" t="n">
        <v>148</v>
      </c>
      <c r="B152" s="6" t="s">
        <v>449</v>
      </c>
      <c r="C152" s="10" t="s">
        <v>465</v>
      </c>
      <c r="D152" s="6" t="s">
        <v>466</v>
      </c>
      <c r="E152" s="11" t="s">
        <v>467</v>
      </c>
      <c r="F152" s="8" t="s">
        <v>29</v>
      </c>
      <c r="G152" s="9"/>
    </row>
    <row r="153" customFormat="false" ht="29.85" hidden="false" customHeight="false" outlineLevel="0" collapsed="false">
      <c r="A153" s="5" t="n">
        <v>149</v>
      </c>
      <c r="B153" s="6" t="s">
        <v>449</v>
      </c>
      <c r="C153" s="10" t="s">
        <v>468</v>
      </c>
      <c r="D153" s="11" t="s">
        <v>469</v>
      </c>
      <c r="E153" s="6" t="s">
        <v>470</v>
      </c>
      <c r="F153" s="8" t="s">
        <v>29</v>
      </c>
      <c r="G153" s="9"/>
    </row>
    <row r="154" customFormat="false" ht="29.85" hidden="false" customHeight="false" outlineLevel="0" collapsed="false">
      <c r="A154" s="5" t="n">
        <v>150</v>
      </c>
      <c r="B154" s="6" t="s">
        <v>449</v>
      </c>
      <c r="C154" s="10" t="s">
        <v>471</v>
      </c>
      <c r="D154" s="6" t="s">
        <v>472</v>
      </c>
      <c r="E154" s="6" t="s">
        <v>473</v>
      </c>
      <c r="F154" s="8" t="s">
        <v>13</v>
      </c>
      <c r="G154" s="9"/>
    </row>
    <row r="155" customFormat="false" ht="29.85" hidden="false" customHeight="false" outlineLevel="0" collapsed="false">
      <c r="A155" s="5" t="n">
        <v>151</v>
      </c>
      <c r="B155" s="6" t="s">
        <v>449</v>
      </c>
      <c r="C155" s="10" t="s">
        <v>474</v>
      </c>
      <c r="D155" s="11" t="s">
        <v>475</v>
      </c>
      <c r="E155" s="6" t="s">
        <v>476</v>
      </c>
      <c r="F155" s="8" t="s">
        <v>13</v>
      </c>
      <c r="G155" s="9"/>
    </row>
  </sheetData>
  <autoFilter ref="A4:G155"/>
  <conditionalFormatting sqref="A5:G155">
    <cfRule type="expression" priority="2" aboveAverage="0" equalAverage="0" bottom="0" percent="0" rank="0" text="" dxfId="6">
      <formula>$F5="★★★"</formula>
    </cfRule>
  </conditionalFormatting>
  <dataValidations count="1">
    <dataValidation allowBlank="true" errorStyle="stop" operator="between" showDropDown="false" showErrorMessage="false" showInputMessage="false" sqref="G5:G155" type="list">
      <formula1>"◎ 説明できる,○ なんとなく,△ 要復習"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1"/>
    <col collapsed="false" customWidth="true" hidden="false" outlineLevel="0" max="7" min="7" style="0" width="16"/>
  </cols>
  <sheetData>
    <row r="1" customFormat="false" ht="16.15" hidden="false" customHeight="false" outlineLevel="0" collapsed="false">
      <c r="A1" s="12" t="s">
        <v>477</v>
      </c>
    </row>
    <row r="3" customFormat="false" ht="15" hidden="false" customHeight="false" outlineLevel="0" collapsed="false">
      <c r="A3" s="13" t="s">
        <v>3</v>
      </c>
      <c r="B3" s="13" t="s">
        <v>478</v>
      </c>
      <c r="C3" s="13" t="s">
        <v>479</v>
      </c>
      <c r="D3" s="13" t="s">
        <v>480</v>
      </c>
      <c r="E3" s="13" t="s">
        <v>481</v>
      </c>
      <c r="F3" s="13" t="s">
        <v>482</v>
      </c>
      <c r="G3" s="13" t="s">
        <v>483</v>
      </c>
    </row>
    <row r="4" customFormat="false" ht="15" hidden="false" customHeight="false" outlineLevel="0" collapsed="false">
      <c r="A4" s="14" t="s">
        <v>9</v>
      </c>
      <c r="B4" s="15" t="n">
        <f aca="false">COUNTIF(キーワード一覧!$B$5:$B$155,A4)</f>
        <v>17</v>
      </c>
      <c r="C4" s="15" t="n">
        <f aca="false">COUNTIFS(キーワード一覧!$B$5:$B$155,A4,キーワード一覧!$F$5:$F$155,"★★★")</f>
        <v>8</v>
      </c>
      <c r="D4" s="15" t="n">
        <f aca="false">COUNTIFS(キーワード一覧!$B$5:$B$155,A4,キーワード一覧!$G$5:$G$155,"◎*")</f>
        <v>0</v>
      </c>
      <c r="E4" s="15" t="n">
        <f aca="false">COUNTIFS(キーワード一覧!$B$5:$B$155,A4,キーワード一覧!$G$5:$G$155,"○*")</f>
        <v>0</v>
      </c>
      <c r="F4" s="15" t="n">
        <f aca="false">COUNTIFS(キーワード一覧!$B$5:$B$155,A4,キーワード一覧!$G$5:$G$155,"△*")</f>
        <v>0</v>
      </c>
      <c r="G4" s="16" t="n">
        <f aca="false">IF(B4=0,0,D4/B4)</f>
        <v>0</v>
      </c>
    </row>
    <row r="5" customFormat="false" ht="15" hidden="false" customHeight="false" outlineLevel="0" collapsed="false">
      <c r="A5" s="14" t="s">
        <v>64</v>
      </c>
      <c r="B5" s="15" t="n">
        <f aca="false">COUNTIF(キーワード一覧!$B$5:$B$155,A5)</f>
        <v>21</v>
      </c>
      <c r="C5" s="15" t="n">
        <f aca="false">COUNTIFS(キーワード一覧!$B$5:$B$155,A5,キーワード一覧!$F$5:$F$155,"★★★")</f>
        <v>7</v>
      </c>
      <c r="D5" s="15" t="n">
        <f aca="false">COUNTIFS(キーワード一覧!$B$5:$B$155,A5,キーワード一覧!$G$5:$G$155,"◎*")</f>
        <v>0</v>
      </c>
      <c r="E5" s="15" t="n">
        <f aca="false">COUNTIFS(キーワード一覧!$B$5:$B$155,A5,キーワード一覧!$G$5:$G$155,"○*")</f>
        <v>0</v>
      </c>
      <c r="F5" s="15" t="n">
        <f aca="false">COUNTIFS(キーワード一覧!$B$5:$B$155,A5,キーワード一覧!$G$5:$G$155,"△*")</f>
        <v>0</v>
      </c>
      <c r="G5" s="16" t="n">
        <f aca="false">IF(B5=0,0,D5/B5)</f>
        <v>0</v>
      </c>
    </row>
    <row r="6" customFormat="false" ht="15" hidden="false" customHeight="false" outlineLevel="0" collapsed="false">
      <c r="A6" s="14" t="s">
        <v>128</v>
      </c>
      <c r="B6" s="15" t="n">
        <f aca="false">COUNTIF(キーワード一覧!$B$5:$B$155,A6)</f>
        <v>19</v>
      </c>
      <c r="C6" s="15" t="n">
        <f aca="false">COUNTIFS(キーワード一覧!$B$5:$B$155,A6,キーワード一覧!$F$5:$F$155,"★★★")</f>
        <v>6</v>
      </c>
      <c r="D6" s="15" t="n">
        <f aca="false">COUNTIFS(キーワード一覧!$B$5:$B$155,A6,キーワード一覧!$G$5:$G$155,"◎*")</f>
        <v>0</v>
      </c>
      <c r="E6" s="15" t="n">
        <f aca="false">COUNTIFS(キーワード一覧!$B$5:$B$155,A6,キーワード一覧!$G$5:$G$155,"○*")</f>
        <v>0</v>
      </c>
      <c r="F6" s="15" t="n">
        <f aca="false">COUNTIFS(キーワード一覧!$B$5:$B$155,A6,キーワード一覧!$G$5:$G$155,"△*")</f>
        <v>0</v>
      </c>
      <c r="G6" s="16" t="n">
        <f aca="false">IF(B6=0,0,D6/B6)</f>
        <v>0</v>
      </c>
    </row>
    <row r="7" customFormat="false" ht="15" hidden="false" customHeight="false" outlineLevel="0" collapsed="false">
      <c r="A7" s="14" t="s">
        <v>186</v>
      </c>
      <c r="B7" s="15" t="n">
        <f aca="false">COUNTIF(キーワード一覧!$B$5:$B$155,A7)</f>
        <v>22</v>
      </c>
      <c r="C7" s="15" t="n">
        <f aca="false">COUNTIFS(キーワード一覧!$B$5:$B$155,A7,キーワード一覧!$F$5:$F$155,"★★★")</f>
        <v>16</v>
      </c>
      <c r="D7" s="15" t="n">
        <f aca="false">COUNTIFS(キーワード一覧!$B$5:$B$155,A7,キーワード一覧!$G$5:$G$155,"◎*")</f>
        <v>0</v>
      </c>
      <c r="E7" s="15" t="n">
        <f aca="false">COUNTIFS(キーワード一覧!$B$5:$B$155,A7,キーワード一覧!$G$5:$G$155,"○*")</f>
        <v>0</v>
      </c>
      <c r="F7" s="15" t="n">
        <f aca="false">COUNTIFS(キーワード一覧!$B$5:$B$155,A7,キーワード一覧!$G$5:$G$155,"△*")</f>
        <v>0</v>
      </c>
      <c r="G7" s="16" t="n">
        <f aca="false">IF(B7=0,0,D7/B7)</f>
        <v>0</v>
      </c>
    </row>
    <row r="8" customFormat="false" ht="15" hidden="false" customHeight="false" outlineLevel="0" collapsed="false">
      <c r="A8" s="14" t="s">
        <v>253</v>
      </c>
      <c r="B8" s="15" t="n">
        <f aca="false">COUNTIF(キーワード一覧!$B$5:$B$155,A8)</f>
        <v>23</v>
      </c>
      <c r="C8" s="15" t="n">
        <f aca="false">COUNTIFS(キーワード一覧!$B$5:$B$155,A8,キーワード一覧!$F$5:$F$155,"★★★")</f>
        <v>7</v>
      </c>
      <c r="D8" s="15" t="n">
        <f aca="false">COUNTIFS(キーワード一覧!$B$5:$B$155,A8,キーワード一覧!$G$5:$G$155,"◎*")</f>
        <v>0</v>
      </c>
      <c r="E8" s="15" t="n">
        <f aca="false">COUNTIFS(キーワード一覧!$B$5:$B$155,A8,キーワード一覧!$G$5:$G$155,"○*")</f>
        <v>0</v>
      </c>
      <c r="F8" s="15" t="n">
        <f aca="false">COUNTIFS(キーワード一覧!$B$5:$B$155,A8,キーワード一覧!$G$5:$G$155,"△*")</f>
        <v>0</v>
      </c>
      <c r="G8" s="16" t="n">
        <f aca="false">IF(B8=0,0,D8/B8)</f>
        <v>0</v>
      </c>
    </row>
    <row r="9" customFormat="false" ht="15" hidden="false" customHeight="false" outlineLevel="0" collapsed="false">
      <c r="A9" s="14" t="s">
        <v>323</v>
      </c>
      <c r="B9" s="15" t="n">
        <f aca="false">COUNTIF(キーワード一覧!$B$5:$B$155,A9)</f>
        <v>9</v>
      </c>
      <c r="C9" s="15" t="n">
        <f aca="false">COUNTIFS(キーワード一覧!$B$5:$B$155,A9,キーワード一覧!$F$5:$F$155,"★★★")</f>
        <v>3</v>
      </c>
      <c r="D9" s="15" t="n">
        <f aca="false">COUNTIFS(キーワード一覧!$B$5:$B$155,A9,キーワード一覧!$G$5:$G$155,"◎*")</f>
        <v>0</v>
      </c>
      <c r="E9" s="15" t="n">
        <f aca="false">COUNTIFS(キーワード一覧!$B$5:$B$155,A9,キーワード一覧!$G$5:$G$155,"○*")</f>
        <v>0</v>
      </c>
      <c r="F9" s="15" t="n">
        <f aca="false">COUNTIFS(キーワード一覧!$B$5:$B$155,A9,キーワード一覧!$G$5:$G$155,"△*")</f>
        <v>0</v>
      </c>
      <c r="G9" s="16" t="n">
        <f aca="false">IF(B9=0,0,D9/B9)</f>
        <v>0</v>
      </c>
    </row>
    <row r="10" customFormat="false" ht="15" hidden="false" customHeight="false" outlineLevel="0" collapsed="false">
      <c r="A10" s="14" t="s">
        <v>351</v>
      </c>
      <c r="B10" s="15" t="n">
        <f aca="false">COUNTIF(キーワード一覧!$B$5:$B$155,A10)</f>
        <v>9</v>
      </c>
      <c r="C10" s="15" t="n">
        <f aca="false">COUNTIFS(キーワード一覧!$B$5:$B$155,A10,キーワード一覧!$F$5:$F$155,"★★★")</f>
        <v>1</v>
      </c>
      <c r="D10" s="15" t="n">
        <f aca="false">COUNTIFS(キーワード一覧!$B$5:$B$155,A10,キーワード一覧!$G$5:$G$155,"◎*")</f>
        <v>0</v>
      </c>
      <c r="E10" s="15" t="n">
        <f aca="false">COUNTIFS(キーワード一覧!$B$5:$B$155,A10,キーワード一覧!$G$5:$G$155,"○*")</f>
        <v>0</v>
      </c>
      <c r="F10" s="15" t="n">
        <f aca="false">COUNTIFS(キーワード一覧!$B$5:$B$155,A10,キーワード一覧!$G$5:$G$155,"△*")</f>
        <v>0</v>
      </c>
      <c r="G10" s="16" t="n">
        <f aca="false">IF(B10=0,0,D10/B10)</f>
        <v>0</v>
      </c>
    </row>
    <row r="11" customFormat="false" ht="15" hidden="false" customHeight="false" outlineLevel="0" collapsed="false">
      <c r="A11" s="14" t="s">
        <v>379</v>
      </c>
      <c r="B11" s="15" t="n">
        <f aca="false">COUNTIF(キーワード一覧!$B$5:$B$155,A11)</f>
        <v>10</v>
      </c>
      <c r="C11" s="15" t="n">
        <f aca="false">COUNTIFS(キーワード一覧!$B$5:$B$155,A11,キーワード一覧!$F$5:$F$155,"★★★")</f>
        <v>2</v>
      </c>
      <c r="D11" s="15" t="n">
        <f aca="false">COUNTIFS(キーワード一覧!$B$5:$B$155,A11,キーワード一覧!$G$5:$G$155,"◎*")</f>
        <v>0</v>
      </c>
      <c r="E11" s="15" t="n">
        <f aca="false">COUNTIFS(キーワード一覧!$B$5:$B$155,A11,キーワード一覧!$G$5:$G$155,"○*")</f>
        <v>0</v>
      </c>
      <c r="F11" s="15" t="n">
        <f aca="false">COUNTIFS(キーワード一覧!$B$5:$B$155,A11,キーワード一覧!$G$5:$G$155,"△*")</f>
        <v>0</v>
      </c>
      <c r="G11" s="16" t="n">
        <f aca="false">IF(B11=0,0,D11/B11)</f>
        <v>0</v>
      </c>
    </row>
    <row r="12" customFormat="false" ht="15" hidden="false" customHeight="false" outlineLevel="0" collapsed="false">
      <c r="A12" s="14" t="s">
        <v>410</v>
      </c>
      <c r="B12" s="15" t="n">
        <f aca="false">COUNTIF(キーワード一覧!$B$5:$B$155,A12)</f>
        <v>4</v>
      </c>
      <c r="C12" s="15" t="n">
        <f aca="false">COUNTIFS(キーワード一覧!$B$5:$B$155,A12,キーワード一覧!$F$5:$F$155,"★★★")</f>
        <v>0</v>
      </c>
      <c r="D12" s="15" t="n">
        <f aca="false">COUNTIFS(キーワード一覧!$B$5:$B$155,A12,キーワード一覧!$G$5:$G$155,"◎*")</f>
        <v>0</v>
      </c>
      <c r="E12" s="15" t="n">
        <f aca="false">COUNTIFS(キーワード一覧!$B$5:$B$155,A12,キーワード一覧!$G$5:$G$155,"○*")</f>
        <v>0</v>
      </c>
      <c r="F12" s="15" t="n">
        <f aca="false">COUNTIFS(キーワード一覧!$B$5:$B$155,A12,キーワード一覧!$G$5:$G$155,"△*")</f>
        <v>0</v>
      </c>
      <c r="G12" s="16" t="n">
        <f aca="false">IF(B12=0,0,D12/B12)</f>
        <v>0</v>
      </c>
    </row>
    <row r="13" customFormat="false" ht="15" hidden="false" customHeight="false" outlineLevel="0" collapsed="false">
      <c r="A13" s="14" t="s">
        <v>423</v>
      </c>
      <c r="B13" s="15" t="n">
        <f aca="false">COUNTIF(キーワード一覧!$B$5:$B$155,A13)</f>
        <v>4</v>
      </c>
      <c r="C13" s="15" t="n">
        <f aca="false">COUNTIFS(キーワード一覧!$B$5:$B$155,A13,キーワード一覧!$F$5:$F$155,"★★★")</f>
        <v>0</v>
      </c>
      <c r="D13" s="15" t="n">
        <f aca="false">COUNTIFS(キーワード一覧!$B$5:$B$155,A13,キーワード一覧!$G$5:$G$155,"◎*")</f>
        <v>0</v>
      </c>
      <c r="E13" s="15" t="n">
        <f aca="false">COUNTIFS(キーワード一覧!$B$5:$B$155,A13,キーワード一覧!$G$5:$G$155,"○*")</f>
        <v>0</v>
      </c>
      <c r="F13" s="15" t="n">
        <f aca="false">COUNTIFS(キーワード一覧!$B$5:$B$155,A13,キーワード一覧!$G$5:$G$155,"△*")</f>
        <v>0</v>
      </c>
      <c r="G13" s="16" t="n">
        <f aca="false">IF(B13=0,0,D13/B13)</f>
        <v>0</v>
      </c>
    </row>
    <row r="14" customFormat="false" ht="15" hidden="false" customHeight="false" outlineLevel="0" collapsed="false">
      <c r="A14" s="17" t="s">
        <v>436</v>
      </c>
      <c r="B14" s="15" t="n">
        <f aca="false">COUNTIF(キーワード一覧!$B$5:$B$155,A14)</f>
        <v>4</v>
      </c>
      <c r="C14" s="15" t="n">
        <f aca="false">COUNTIFS(キーワード一覧!$B$5:$B$155,A14,キーワード一覧!$F$5:$F$155,"★★★")</f>
        <v>0</v>
      </c>
      <c r="D14" s="15" t="n">
        <f aca="false">COUNTIFS(キーワード一覧!$B$5:$B$155,A14,キーワード一覧!$G$5:$G$155,"◎*")</f>
        <v>0</v>
      </c>
      <c r="E14" s="15" t="n">
        <f aca="false">COUNTIFS(キーワード一覧!$B$5:$B$155,A14,キーワード一覧!$G$5:$G$155,"○*")</f>
        <v>0</v>
      </c>
      <c r="F14" s="15" t="n">
        <f aca="false">COUNTIFS(キーワード一覧!$B$5:$B$155,A14,キーワード一覧!$G$5:$G$155,"△*")</f>
        <v>0</v>
      </c>
      <c r="G14" s="16" t="n">
        <f aca="false">IF(B14=0,0,D14/B14)</f>
        <v>0</v>
      </c>
    </row>
    <row r="15" customFormat="false" ht="15" hidden="false" customHeight="false" outlineLevel="0" collapsed="false">
      <c r="A15" s="14" t="s">
        <v>449</v>
      </c>
      <c r="B15" s="15" t="n">
        <f aca="false">COUNTIF(キーワード一覧!$B$5:$B$155,A15)</f>
        <v>9</v>
      </c>
      <c r="C15" s="15" t="n">
        <f aca="false">COUNTIFS(キーワード一覧!$B$5:$B$155,A15,キーワード一覧!$F$5:$F$155,"★★★")</f>
        <v>7</v>
      </c>
      <c r="D15" s="15" t="n">
        <f aca="false">COUNTIFS(キーワード一覧!$B$5:$B$155,A15,キーワード一覧!$G$5:$G$155,"◎*")</f>
        <v>0</v>
      </c>
      <c r="E15" s="15" t="n">
        <f aca="false">COUNTIFS(キーワード一覧!$B$5:$B$155,A15,キーワード一覧!$G$5:$G$155,"○*")</f>
        <v>0</v>
      </c>
      <c r="F15" s="15" t="n">
        <f aca="false">COUNTIFS(キーワード一覧!$B$5:$B$155,A15,キーワード一覧!$G$5:$G$155,"△*")</f>
        <v>0</v>
      </c>
      <c r="G15" s="16" t="n">
        <f aca="false">IF(B15=0,0,D15/B15)</f>
        <v>0</v>
      </c>
    </row>
    <row r="16" customFormat="false" ht="15" hidden="false" customHeight="false" outlineLevel="0" collapsed="false">
      <c r="A16" s="18" t="s">
        <v>484</v>
      </c>
      <c r="B16" s="19" t="n">
        <f aca="false">SUM(B4:B15)</f>
        <v>151</v>
      </c>
      <c r="C16" s="19" t="n">
        <f aca="false">SUM(C4:C15)</f>
        <v>57</v>
      </c>
      <c r="D16" s="19" t="n">
        <f aca="false">SUM(D4:D15)</f>
        <v>0</v>
      </c>
      <c r="E16" s="19" t="n">
        <f aca="false">SUM(E4:E15)</f>
        <v>0</v>
      </c>
      <c r="F16" s="19" t="n">
        <f aca="false">SUM(F4:F15)</f>
        <v>0</v>
      </c>
      <c r="G16" s="20" t="n">
        <f aca="false">IF(B16=0,0,D16/B16)</f>
        <v>0</v>
      </c>
    </row>
    <row r="18" customFormat="false" ht="15" hidden="false" customHeight="false" outlineLevel="0" collapsed="false">
      <c r="A18" s="2" t="s">
        <v>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2026-10-13T00:18:01Z</dcterms:created>
  <dc:creator>openpyxl</dc:creator>
  <dc:description/>
  <dc:language>en-US</dc:language>
  <cp:lastModifiedBy/>
  <dcterms:modified xsi:type="dcterms:W3CDTF">2026-10-13T00:18:01Z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